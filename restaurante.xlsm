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se_cruz\Documents\Money\Administracion_Inventarios\"/>
    </mc:Choice>
  </mc:AlternateContent>
  <bookViews>
    <workbookView xWindow="2790" yWindow="0" windowWidth="18270" windowHeight="12180" tabRatio="794" firstSheet="1" activeTab="1"/>
  </bookViews>
  <sheets>
    <sheet name="Objetivos" sheetId="2" r:id="rId1"/>
    <sheet name="RN_AN" sheetId="3" r:id="rId2"/>
    <sheet name="RN_BN" sheetId="4" r:id="rId3"/>
    <sheet name="Entidades" sheetId="9" r:id="rId4"/>
    <sheet name="Asientos Contables preliminares" sheetId="10" r:id="rId5"/>
    <sheet name="Procesos_AN" sheetId="8" r:id="rId6"/>
    <sheet name="Acciones" sheetId="13" r:id="rId7"/>
    <sheet name="Funcionalidad UI" sheetId="16" r:id="rId8"/>
    <sheet name="Workflows" sheetId="14" r:id="rId9"/>
    <sheet name="Requerimientos de Diseño" sheetId="15" r:id="rId10"/>
    <sheet name="Zachman" sheetId="12" r:id="rId11"/>
    <sheet name="Sheet5" sheetId="11" r:id="rId12"/>
    <sheet name="Sheet2" sheetId="6" r:id="rId13"/>
    <sheet name="Sheet3" sheetId="7" r:id="rId14"/>
    <sheet name="Sheet1" sheetId="1" r:id="rId15"/>
    <sheet name="UI" sheetId="5" r:id="rId16"/>
  </sheets>
  <definedNames>
    <definedName name="_xlnm._FilterDatabase" localSheetId="2" hidden="1">RN_BN!$A$2:$L$198</definedName>
    <definedName name="_xlnm._FilterDatabase" localSheetId="12" hidden="1">Sheet2!$A$2:$H$88</definedName>
    <definedName name="_xlnm._FilterDatabase" localSheetId="13" hidden="1">Sheet3!$A$2:$H$12</definedName>
    <definedName name="_xlnm._FilterDatabase" localSheetId="15" hidden="1">UI!$K$2:$N$704</definedName>
    <definedName name="Acciones">Table2[Método]</definedName>
    <definedName name="Entidades">Entidades!$A$7:$A$100</definedName>
    <definedName name="Objetivos">Objetivos!$A$2:$A$15</definedName>
    <definedName name="Procesos">Table3[Proceso]</definedName>
    <definedName name="RN_AN">RN_AN!$A$3:$A$50</definedName>
    <definedName name="RN_BN">RN_BN!$A$3:$A$193</definedName>
    <definedName name="Tipo_Requerimiento">RN_AN!$G$18:$G$22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43" i="4" l="1"/>
  <c r="A42" i="3"/>
  <c r="J86" i="9"/>
  <c r="H111" i="9" l="1"/>
  <c r="I110" i="9"/>
  <c r="I109" i="9"/>
  <c r="I108" i="9"/>
  <c r="I111" i="9" s="1"/>
  <c r="I113" i="9" s="1"/>
  <c r="M25" i="13" l="1"/>
  <c r="M24" i="13"/>
  <c r="M22" i="13"/>
  <c r="M21" i="13"/>
  <c r="M19" i="13"/>
  <c r="I20" i="13"/>
  <c r="M18" i="13"/>
  <c r="M7" i="13"/>
  <c r="M15" i="13"/>
  <c r="M14" i="13"/>
  <c r="H7" i="13"/>
  <c r="I14" i="13"/>
  <c r="H6" i="13"/>
  <c r="M5" i="13"/>
  <c r="J83" i="9"/>
  <c r="M4" i="13"/>
  <c r="J3" i="13"/>
  <c r="M9" i="13"/>
  <c r="M3" i="13"/>
  <c r="H3" i="13"/>
  <c r="K82" i="9"/>
  <c r="J82" i="9"/>
  <c r="I8" i="13"/>
  <c r="I9" i="13"/>
  <c r="I3" i="13"/>
  <c r="I11" i="13"/>
  <c r="I12" i="13"/>
  <c r="I10" i="13"/>
  <c r="I4" i="13"/>
  <c r="I5" i="13"/>
  <c r="I6" i="13"/>
  <c r="I13" i="13"/>
  <c r="I15" i="13"/>
  <c r="I17" i="13"/>
  <c r="I7" i="13"/>
  <c r="I18" i="13"/>
  <c r="I19" i="13"/>
  <c r="I16" i="13"/>
  <c r="I21" i="13"/>
  <c r="I22" i="13"/>
  <c r="I23" i="13"/>
  <c r="I24" i="13"/>
  <c r="I25" i="13"/>
  <c r="I26" i="13"/>
  <c r="I27" i="13"/>
  <c r="I28" i="13"/>
  <c r="J42" i="9"/>
  <c r="J4" i="13"/>
  <c r="J5" i="13"/>
  <c r="M6" i="13"/>
  <c r="J6" i="13"/>
  <c r="J7" i="13"/>
  <c r="M12" i="13"/>
  <c r="M10" i="13"/>
  <c r="M11" i="13"/>
  <c r="M8" i="13"/>
  <c r="H4" i="13"/>
  <c r="H27" i="13"/>
  <c r="J85" i="9"/>
  <c r="J28" i="13"/>
  <c r="H23" i="13"/>
  <c r="J9" i="13"/>
  <c r="J14" i="13"/>
  <c r="M26" i="13"/>
  <c r="H18" i="13"/>
  <c r="J27" i="13"/>
  <c r="H26" i="13"/>
  <c r="J24" i="13"/>
  <c r="H20" i="13"/>
  <c r="J15" i="13"/>
  <c r="J13" i="13"/>
  <c r="J12" i="13"/>
  <c r="J16" i="13"/>
  <c r="H16" i="13"/>
  <c r="H12" i="13"/>
  <c r="J21" i="13"/>
  <c r="H24" i="13"/>
  <c r="H17" i="13"/>
  <c r="J25" i="13"/>
  <c r="H19" i="13"/>
  <c r="H11" i="13"/>
  <c r="J19" i="13"/>
  <c r="M23" i="13"/>
  <c r="J84" i="9"/>
  <c r="J26" i="13"/>
  <c r="M20" i="13"/>
  <c r="J17" i="13"/>
  <c r="M17" i="13"/>
  <c r="H8" i="13"/>
  <c r="J20" i="13"/>
  <c r="H10" i="13"/>
  <c r="H22" i="13"/>
  <c r="J18" i="13"/>
  <c r="J8" i="13"/>
  <c r="M27" i="13"/>
  <c r="H21" i="13"/>
  <c r="J23" i="13"/>
  <c r="H9" i="13"/>
  <c r="H15" i="13"/>
  <c r="H25" i="13"/>
  <c r="J22" i="13"/>
  <c r="M16" i="13"/>
  <c r="H13" i="13"/>
  <c r="J11" i="13"/>
  <c r="H14" i="13"/>
  <c r="J10" i="13"/>
  <c r="M13" i="13"/>
  <c r="K72" i="9" l="1"/>
  <c r="K66" i="9"/>
  <c r="J62" i="9"/>
  <c r="K27" i="9"/>
  <c r="K19" i="9"/>
  <c r="M109" i="9"/>
  <c r="M110" i="9"/>
  <c r="M111" i="9"/>
  <c r="M108" i="9"/>
  <c r="K16" i="9"/>
  <c r="K12" i="9"/>
  <c r="J19" i="9"/>
  <c r="B28" i="10"/>
  <c r="B11" i="10"/>
  <c r="B12" i="10"/>
  <c r="B13" i="10"/>
  <c r="B9" i="10"/>
  <c r="B8" i="10"/>
  <c r="B7" i="10"/>
  <c r="B6" i="10"/>
  <c r="B5" i="10"/>
  <c r="B4" i="10"/>
  <c r="E17" i="11"/>
  <c r="F17" i="11" s="1"/>
  <c r="E15" i="11"/>
  <c r="F15" i="11" s="1"/>
  <c r="D20" i="11"/>
  <c r="K10" i="11"/>
  <c r="L10" i="11" s="1"/>
  <c r="J5" i="11"/>
  <c r="E13" i="11" s="1"/>
  <c r="F13" i="11" s="1"/>
  <c r="J3" i="11"/>
  <c r="J6" i="11" s="1"/>
  <c r="J12" i="11" s="1"/>
  <c r="F14" i="11"/>
  <c r="F12" i="11"/>
  <c r="F8" i="11"/>
  <c r="B10" i="10"/>
  <c r="B27" i="10"/>
  <c r="B26" i="10"/>
  <c r="H52" i="9"/>
  <c r="F16" i="9"/>
  <c r="H20" i="9"/>
  <c r="J27" i="9"/>
  <c r="J16" i="9"/>
  <c r="J22" i="9"/>
  <c r="H21" i="9"/>
  <c r="J29" i="9"/>
  <c r="H53" i="9"/>
  <c r="F21" i="9"/>
  <c r="H16" i="9"/>
  <c r="J28" i="9"/>
  <c r="M112" i="9" l="1"/>
  <c r="N108" i="9" s="1"/>
  <c r="O108" i="9" s="1"/>
  <c r="P108" i="9" s="1"/>
  <c r="R108" i="9" s="1"/>
  <c r="H62" i="9"/>
  <c r="F62" i="9"/>
  <c r="H83" i="9"/>
  <c r="H42" i="9"/>
  <c r="F42" i="9"/>
  <c r="H82" i="9"/>
  <c r="F82" i="9"/>
  <c r="H98" i="9"/>
  <c r="H27" i="9"/>
  <c r="F40" i="9"/>
  <c r="F98" i="9"/>
  <c r="H88" i="9"/>
  <c r="F64" i="9"/>
  <c r="F97" i="9"/>
  <c r="F89" i="9"/>
  <c r="F100" i="9"/>
  <c r="F93" i="9"/>
  <c r="H28" i="9"/>
  <c r="H92" i="9"/>
  <c r="F87" i="9"/>
  <c r="H90" i="9"/>
  <c r="H94" i="9"/>
  <c r="H91" i="9"/>
  <c r="F85" i="9"/>
  <c r="F94" i="9"/>
  <c r="H64" i="9"/>
  <c r="F92" i="9"/>
  <c r="H40" i="9"/>
  <c r="H96" i="9"/>
  <c r="H89" i="9"/>
  <c r="F88" i="9"/>
  <c r="H97" i="9"/>
  <c r="F96" i="9"/>
  <c r="H95" i="9"/>
  <c r="F90" i="9"/>
  <c r="F84" i="9"/>
  <c r="F86" i="9"/>
  <c r="H85" i="9"/>
  <c r="H29" i="9"/>
  <c r="H99" i="9"/>
  <c r="F28" i="9"/>
  <c r="H39" i="9"/>
  <c r="F95" i="9"/>
  <c r="F27" i="9"/>
  <c r="F91" i="9"/>
  <c r="H86" i="9"/>
  <c r="F39" i="9"/>
  <c r="H100" i="9"/>
  <c r="H93" i="9"/>
  <c r="H87" i="9"/>
  <c r="F29" i="9"/>
  <c r="H84" i="9"/>
  <c r="F99" i="9"/>
  <c r="N110" i="9" l="1"/>
  <c r="O110" i="9" s="1"/>
  <c r="P110" i="9" s="1"/>
  <c r="R110" i="9" s="1"/>
  <c r="N109" i="9"/>
  <c r="O109" i="9" s="1"/>
  <c r="P109" i="9" s="1"/>
  <c r="R109" i="9" s="1"/>
  <c r="N111" i="9"/>
  <c r="O111" i="9" s="1"/>
  <c r="P111" i="9" s="1"/>
  <c r="R111" i="9" s="1"/>
  <c r="D9" i="11"/>
  <c r="E11" i="11"/>
  <c r="F11" i="11" s="1"/>
  <c r="K15" i="11"/>
  <c r="K16" i="11"/>
  <c r="B3" i="10"/>
  <c r="B2" i="10"/>
  <c r="B17" i="10"/>
  <c r="B16" i="10"/>
  <c r="B15" i="10"/>
  <c r="B14" i="10"/>
  <c r="B32" i="10"/>
  <c r="B30" i="10"/>
  <c r="B29" i="10"/>
  <c r="B34" i="10"/>
  <c r="B33" i="10"/>
  <c r="B31" i="10"/>
  <c r="B18" i="10"/>
  <c r="J72" i="9"/>
  <c r="K62" i="9"/>
  <c r="J21" i="9"/>
  <c r="J7" i="9"/>
  <c r="F7" i="11" l="1"/>
  <c r="K77" i="9"/>
  <c r="K73" i="9"/>
  <c r="K48" i="9"/>
  <c r="K47" i="9"/>
  <c r="K46" i="9"/>
  <c r="K45" i="9"/>
  <c r="K44" i="9"/>
  <c r="K43" i="9"/>
  <c r="K41" i="9"/>
  <c r="J12" i="9"/>
  <c r="J25" i="9"/>
  <c r="J26" i="9"/>
  <c r="J71" i="9"/>
  <c r="J30" i="9"/>
  <c r="J41" i="9"/>
  <c r="J43" i="9"/>
  <c r="J44" i="9"/>
  <c r="J45" i="9"/>
  <c r="J46" i="9"/>
  <c r="J47" i="9"/>
  <c r="J48" i="9"/>
  <c r="J63" i="9"/>
  <c r="J68" i="9"/>
  <c r="J70" i="9"/>
  <c r="J73" i="9"/>
  <c r="J76" i="9"/>
  <c r="J77" i="9"/>
  <c r="J17" i="9"/>
  <c r="J18" i="9"/>
  <c r="J35" i="9"/>
  <c r="J53" i="9"/>
  <c r="J52" i="9"/>
  <c r="J38" i="9"/>
  <c r="F9" i="11" l="1"/>
  <c r="E21" i="11"/>
  <c r="F77" i="9"/>
  <c r="H77" i="9"/>
  <c r="J66" i="9"/>
  <c r="J15" i="9"/>
  <c r="J79" i="9"/>
  <c r="J33" i="9"/>
  <c r="J34" i="9"/>
  <c r="H23" i="9"/>
  <c r="F7" i="9"/>
  <c r="J81" i="9"/>
  <c r="J56" i="9"/>
  <c r="F22" i="9"/>
  <c r="H51" i="9"/>
  <c r="J57" i="9"/>
  <c r="H22" i="9"/>
  <c r="F20" i="11" l="1"/>
  <c r="D21" i="11"/>
  <c r="F48" i="9"/>
  <c r="H48" i="9"/>
  <c r="H12" i="9"/>
  <c r="F12" i="9"/>
  <c r="K71" i="9"/>
  <c r="H71" i="9"/>
  <c r="F71" i="9"/>
  <c r="H25" i="9"/>
  <c r="H30" i="9"/>
  <c r="H63" i="9"/>
  <c r="H68" i="9"/>
  <c r="H70" i="9"/>
  <c r="H76" i="9"/>
  <c r="F25" i="9"/>
  <c r="F30" i="9"/>
  <c r="F63" i="9"/>
  <c r="F68" i="9"/>
  <c r="F70" i="9"/>
  <c r="F76" i="9"/>
  <c r="K76" i="9"/>
  <c r="K38" i="9"/>
  <c r="K70" i="9"/>
  <c r="K68" i="9"/>
  <c r="K63" i="9"/>
  <c r="K35" i="9"/>
  <c r="K30" i="9"/>
  <c r="K25" i="9"/>
  <c r="H26" i="9"/>
  <c r="F26" i="9"/>
  <c r="H41" i="9"/>
  <c r="F45" i="9"/>
  <c r="F44" i="9"/>
  <c r="F41" i="9"/>
  <c r="H46" i="9"/>
  <c r="F46" i="9"/>
  <c r="H44" i="9"/>
  <c r="F43" i="9"/>
  <c r="H43" i="9"/>
  <c r="H45" i="9"/>
  <c r="H73" i="9"/>
  <c r="F73" i="9"/>
  <c r="F47" i="9"/>
  <c r="H47" i="9"/>
  <c r="F72" i="9"/>
  <c r="H72" i="9"/>
  <c r="F19" i="9"/>
  <c r="H66" i="9"/>
  <c r="F66" i="9"/>
  <c r="H19" i="9"/>
  <c r="H79" i="9"/>
  <c r="F81" i="9"/>
  <c r="F67" i="9"/>
  <c r="H17" i="9"/>
  <c r="J54" i="9"/>
  <c r="H78" i="9"/>
  <c r="J23" i="9"/>
  <c r="F35" i="9"/>
  <c r="H67" i="9"/>
  <c r="F20" i="9"/>
  <c r="F38" i="9"/>
  <c r="J49" i="9"/>
  <c r="H81" i="9"/>
  <c r="H38" i="9"/>
  <c r="F58" i="9"/>
  <c r="J58" i="9"/>
  <c r="F49" i="9"/>
  <c r="H80" i="9"/>
  <c r="A29" i="3" l="1"/>
  <c r="A4" i="3"/>
  <c r="G2" i="3" a="1"/>
  <c r="G5" i="3" s="1"/>
  <c r="G2" i="3"/>
  <c r="A32" i="3"/>
  <c r="A28" i="3"/>
  <c r="A39" i="3"/>
  <c r="N4" i="4" a="1"/>
  <c r="N4" i="4" s="1"/>
  <c r="A23" i="3"/>
  <c r="A38" i="3"/>
  <c r="F17" i="9"/>
  <c r="F13" i="9"/>
  <c r="H37" i="9"/>
  <c r="H55" i="9"/>
  <c r="H61" i="9"/>
  <c r="H69" i="9"/>
  <c r="J20" i="9"/>
  <c r="J37" i="9"/>
  <c r="H8" i="9"/>
  <c r="F14" i="9"/>
  <c r="J36" i="9"/>
  <c r="H18" i="9"/>
  <c r="H65" i="9"/>
  <c r="J50" i="9"/>
  <c r="F78" i="9"/>
  <c r="J69" i="9"/>
  <c r="J60" i="9"/>
  <c r="F74" i="9"/>
  <c r="F33" i="9"/>
  <c r="J78" i="9"/>
  <c r="J10" i="9"/>
  <c r="F57" i="9"/>
  <c r="J55" i="9"/>
  <c r="H9" i="9"/>
  <c r="H31" i="9"/>
  <c r="F11" i="9"/>
  <c r="J40" i="9"/>
  <c r="F61" i="9"/>
  <c r="J64" i="9"/>
  <c r="F37" i="9"/>
  <c r="F31" i="9"/>
  <c r="H14" i="9"/>
  <c r="J59" i="9"/>
  <c r="F65" i="9"/>
  <c r="J75" i="9"/>
  <c r="H75" i="9"/>
  <c r="J65" i="9"/>
  <c r="H35" i="9"/>
  <c r="F36" i="9"/>
  <c r="J39" i="9"/>
  <c r="F8" i="9"/>
  <c r="H32" i="9"/>
  <c r="J51" i="9"/>
  <c r="F51" i="9"/>
  <c r="H59" i="9"/>
  <c r="H7" i="9"/>
  <c r="H11" i="9"/>
  <c r="J32" i="9"/>
  <c r="F9" i="9"/>
  <c r="F80" i="9"/>
  <c r="F54" i="9"/>
  <c r="J31" i="9"/>
  <c r="J13" i="9"/>
  <c r="J9" i="9"/>
  <c r="J8" i="9"/>
  <c r="J11" i="9"/>
  <c r="F23" i="9"/>
  <c r="J24" i="9"/>
  <c r="F59" i="9"/>
  <c r="F60" i="9"/>
  <c r="J14" i="9"/>
  <c r="J67" i="9"/>
  <c r="H36" i="9"/>
  <c r="J61" i="9"/>
  <c r="F52" i="9"/>
  <c r="F18" i="9"/>
  <c r="F79" i="9"/>
  <c r="J74" i="9"/>
  <c r="H56" i="9"/>
  <c r="H57" i="9"/>
  <c r="H15" i="9"/>
  <c r="F32" i="9"/>
  <c r="H50" i="9"/>
  <c r="H54" i="9"/>
  <c r="H24" i="9"/>
  <c r="F50" i="9"/>
  <c r="H13" i="9"/>
  <c r="J80" i="9"/>
  <c r="F15" i="9"/>
  <c r="H74" i="9"/>
  <c r="H49" i="9"/>
  <c r="G12" i="3" l="1"/>
  <c r="G8" i="3"/>
  <c r="G4" i="3"/>
  <c r="G11" i="3"/>
  <c r="G7" i="3"/>
  <c r="G3" i="3"/>
  <c r="G14" i="3"/>
  <c r="H14" i="3" s="1"/>
  <c r="G10" i="3"/>
  <c r="G6" i="3"/>
  <c r="G13" i="3"/>
  <c r="G9" i="3"/>
  <c r="O49" i="4"/>
  <c r="O47" i="4"/>
  <c r="O45" i="4"/>
  <c r="O43" i="4"/>
  <c r="O41" i="4"/>
  <c r="O39" i="4"/>
  <c r="O37" i="4"/>
  <c r="O35" i="4"/>
  <c r="O33" i="4"/>
  <c r="O31" i="4"/>
  <c r="O29" i="4"/>
  <c r="O27" i="4"/>
  <c r="O25" i="4"/>
  <c r="O23" i="4"/>
  <c r="O21" i="4"/>
  <c r="O19" i="4"/>
  <c r="O17" i="4"/>
  <c r="O15" i="4"/>
  <c r="O13" i="4"/>
  <c r="O11" i="4"/>
  <c r="O9" i="4"/>
  <c r="O7" i="4"/>
  <c r="O5" i="4"/>
  <c r="N49" i="4"/>
  <c r="N47" i="4"/>
  <c r="N45" i="4"/>
  <c r="N43" i="4"/>
  <c r="N41" i="4"/>
  <c r="N39" i="4"/>
  <c r="N37" i="4"/>
  <c r="N35" i="4"/>
  <c r="N33" i="4"/>
  <c r="N31" i="4"/>
  <c r="N29" i="4"/>
  <c r="N27" i="4"/>
  <c r="N25" i="4"/>
  <c r="N23" i="4"/>
  <c r="N21" i="4"/>
  <c r="N19" i="4"/>
  <c r="N17" i="4"/>
  <c r="N15" i="4"/>
  <c r="N13" i="4"/>
  <c r="N11" i="4"/>
  <c r="N9" i="4"/>
  <c r="N7" i="4"/>
  <c r="N5" i="4"/>
  <c r="O50" i="4"/>
  <c r="O48" i="4"/>
  <c r="O46" i="4"/>
  <c r="O44" i="4"/>
  <c r="O42" i="4"/>
  <c r="O40" i="4"/>
  <c r="O38" i="4"/>
  <c r="O36" i="4"/>
  <c r="O34" i="4"/>
  <c r="O32" i="4"/>
  <c r="O30" i="4"/>
  <c r="O28" i="4"/>
  <c r="O26" i="4"/>
  <c r="O24" i="4"/>
  <c r="O22" i="4"/>
  <c r="O20" i="4"/>
  <c r="O18" i="4"/>
  <c r="O16" i="4"/>
  <c r="O14" i="4"/>
  <c r="O12" i="4"/>
  <c r="O10" i="4"/>
  <c r="O8" i="4"/>
  <c r="O6" i="4"/>
  <c r="O4" i="4"/>
  <c r="N50" i="4"/>
  <c r="N48" i="4"/>
  <c r="N46" i="4"/>
  <c r="N44" i="4"/>
  <c r="N42" i="4"/>
  <c r="N40" i="4"/>
  <c r="N38" i="4"/>
  <c r="N36" i="4"/>
  <c r="N34" i="4"/>
  <c r="N32" i="4"/>
  <c r="N30" i="4"/>
  <c r="N28" i="4"/>
  <c r="N26" i="4"/>
  <c r="N24" i="4"/>
  <c r="N22" i="4"/>
  <c r="N20" i="4"/>
  <c r="N18" i="4"/>
  <c r="N16" i="4"/>
  <c r="N14" i="4"/>
  <c r="N12" i="4"/>
  <c r="N10" i="4"/>
  <c r="N8" i="4"/>
  <c r="N6" i="4"/>
  <c r="H60" i="9"/>
  <c r="H34" i="9"/>
  <c r="H33" i="9"/>
  <c r="F24" i="9"/>
  <c r="F10" i="9"/>
  <c r="F69" i="9"/>
  <c r="F75" i="9"/>
  <c r="F55" i="9"/>
  <c r="F34" i="9"/>
  <c r="H58" i="9"/>
  <c r="F56" i="9"/>
  <c r="H10" i="9"/>
  <c r="F53" i="9"/>
  <c r="A12" i="3" l="1"/>
  <c r="A11" i="3"/>
  <c r="A21" i="3"/>
  <c r="A41" i="3"/>
  <c r="A40" i="3"/>
  <c r="H13" i="3"/>
  <c r="A8" i="3"/>
  <c r="A6" i="3"/>
  <c r="A7" i="3"/>
  <c r="A3" i="3"/>
  <c r="A16" i="3"/>
  <c r="A15" i="3"/>
  <c r="A14" i="3"/>
  <c r="L705" i="5"/>
  <c r="M705" i="5" s="1"/>
  <c r="L706" i="5"/>
  <c r="M706" i="5" s="1"/>
  <c r="L707" i="5"/>
  <c r="M707" i="5"/>
  <c r="N707" i="5"/>
  <c r="L708" i="5"/>
  <c r="M708" i="5" s="1"/>
  <c r="N708" i="5"/>
  <c r="L709" i="5"/>
  <c r="N709" i="5" s="1"/>
  <c r="L710" i="5"/>
  <c r="M710" i="5" s="1"/>
  <c r="L711" i="5"/>
  <c r="M711" i="5"/>
  <c r="N711" i="5"/>
  <c r="L712" i="5"/>
  <c r="M712" i="5" s="1"/>
  <c r="N712" i="5"/>
  <c r="L714" i="5"/>
  <c r="M714" i="5" s="1"/>
  <c r="L715" i="5"/>
  <c r="M715" i="5"/>
  <c r="N715" i="5"/>
  <c r="L716" i="5"/>
  <c r="M716" i="5" s="1"/>
  <c r="N716" i="5"/>
  <c r="L717" i="5"/>
  <c r="N717" i="5" s="1"/>
  <c r="M717" i="5"/>
  <c r="L718" i="5"/>
  <c r="M718" i="5" s="1"/>
  <c r="L719" i="5"/>
  <c r="M719" i="5"/>
  <c r="N719" i="5"/>
  <c r="L720" i="5"/>
  <c r="M720" i="5" s="1"/>
  <c r="N720" i="5"/>
  <c r="L721" i="5"/>
  <c r="N721" i="5" s="1"/>
  <c r="M721" i="5"/>
  <c r="L722" i="5"/>
  <c r="M722" i="5" s="1"/>
  <c r="L723" i="5"/>
  <c r="M723" i="5"/>
  <c r="N723" i="5"/>
  <c r="L724" i="5"/>
  <c r="M724" i="5" s="1"/>
  <c r="N724" i="5"/>
  <c r="L725" i="5"/>
  <c r="N725" i="5" s="1"/>
  <c r="M725" i="5"/>
  <c r="L726" i="5"/>
  <c r="M726" i="5" s="1"/>
  <c r="L727" i="5"/>
  <c r="M727" i="5"/>
  <c r="N727" i="5"/>
  <c r="L728" i="5"/>
  <c r="M728" i="5" s="1"/>
  <c r="N728" i="5"/>
  <c r="L729" i="5"/>
  <c r="N729" i="5" s="1"/>
  <c r="L730" i="5"/>
  <c r="M730" i="5" s="1"/>
  <c r="L731" i="5"/>
  <c r="M731" i="5"/>
  <c r="N731" i="5"/>
  <c r="L732" i="5"/>
  <c r="M732" i="5" s="1"/>
  <c r="N732" i="5"/>
  <c r="L734" i="5"/>
  <c r="M734" i="5" s="1"/>
  <c r="L735" i="5"/>
  <c r="M735" i="5"/>
  <c r="N735" i="5"/>
  <c r="L736" i="5"/>
  <c r="M736" i="5" s="1"/>
  <c r="N736" i="5"/>
  <c r="L737" i="5"/>
  <c r="N737" i="5" s="1"/>
  <c r="M737" i="5"/>
  <c r="L738" i="5"/>
  <c r="M738" i="5" s="1"/>
  <c r="L739" i="5"/>
  <c r="M739" i="5"/>
  <c r="N739" i="5"/>
  <c r="L740" i="5"/>
  <c r="M740" i="5" s="1"/>
  <c r="N740" i="5"/>
  <c r="L741" i="5"/>
  <c r="N741" i="5" s="1"/>
  <c r="M741" i="5"/>
  <c r="L742" i="5"/>
  <c r="M742" i="5" s="1"/>
  <c r="L743" i="5"/>
  <c r="M743" i="5"/>
  <c r="N743" i="5"/>
  <c r="H729" i="5"/>
  <c r="H709" i="5"/>
  <c r="L700" i="5"/>
  <c r="M700" i="5" s="1"/>
  <c r="L699" i="5"/>
  <c r="M699" i="5" s="1"/>
  <c r="L689" i="5"/>
  <c r="M689" i="5" s="1"/>
  <c r="L690" i="5"/>
  <c r="M690" i="5" s="1"/>
  <c r="L691" i="5"/>
  <c r="N691" i="5" s="1"/>
  <c r="L692" i="5"/>
  <c r="M692" i="5" s="1"/>
  <c r="L693" i="5"/>
  <c r="M693" i="5" s="1"/>
  <c r="L694" i="5"/>
  <c r="N694" i="5" s="1"/>
  <c r="L695" i="5"/>
  <c r="M695" i="5" s="1"/>
  <c r="L696" i="5"/>
  <c r="M696" i="5" s="1"/>
  <c r="L697" i="5"/>
  <c r="M697" i="5" s="1"/>
  <c r="L698" i="5"/>
  <c r="N698" i="5" s="1"/>
  <c r="L701" i="5"/>
  <c r="M701" i="5" s="1"/>
  <c r="L702" i="5"/>
  <c r="M702" i="5" s="1"/>
  <c r="L703" i="5"/>
  <c r="M703" i="5" s="1"/>
  <c r="L704" i="5"/>
  <c r="N704" i="5" s="1"/>
  <c r="L688" i="5"/>
  <c r="N688" i="5" s="1"/>
  <c r="L687" i="5"/>
  <c r="M687" i="5" s="1"/>
  <c r="L686" i="5"/>
  <c r="M686" i="5" s="1"/>
  <c r="L685" i="5"/>
  <c r="N685" i="5" s="1"/>
  <c r="L684" i="5"/>
  <c r="M684" i="5" s="1"/>
  <c r="L683" i="5"/>
  <c r="N683" i="5" s="1"/>
  <c r="L10" i="5"/>
  <c r="L53" i="5"/>
  <c r="H53" i="5"/>
  <c r="L11" i="5"/>
  <c r="H11" i="5"/>
  <c r="H10" i="5"/>
  <c r="L22" i="5"/>
  <c r="M22" i="5" s="1"/>
  <c r="H9" i="5"/>
  <c r="H8" i="5"/>
  <c r="L9" i="5"/>
  <c r="L8" i="5"/>
  <c r="H7" i="5"/>
  <c r="L7" i="5"/>
  <c r="L35" i="5"/>
  <c r="N35" i="5" s="1"/>
  <c r="H127" i="5"/>
  <c r="L127" i="5"/>
  <c r="H126" i="5"/>
  <c r="H125" i="5"/>
  <c r="L126" i="5"/>
  <c r="L125" i="5"/>
  <c r="H52" i="5"/>
  <c r="L83" i="5"/>
  <c r="L84" i="5"/>
  <c r="L85" i="5"/>
  <c r="L86" i="5"/>
  <c r="N86" i="5" s="1"/>
  <c r="L87" i="5"/>
  <c r="L88" i="5"/>
  <c r="L89" i="5"/>
  <c r="L90" i="5"/>
  <c r="L91" i="5"/>
  <c r="L92" i="5"/>
  <c r="L93" i="5"/>
  <c r="L94" i="5"/>
  <c r="N94" i="5" s="1"/>
  <c r="L95" i="5"/>
  <c r="L96" i="5"/>
  <c r="L98" i="5"/>
  <c r="N98" i="5" s="1"/>
  <c r="L99" i="5"/>
  <c r="L100" i="5"/>
  <c r="L101" i="5"/>
  <c r="L102" i="5"/>
  <c r="N102" i="5" s="1"/>
  <c r="L103" i="5"/>
  <c r="L104" i="5"/>
  <c r="L105" i="5"/>
  <c r="L106" i="5"/>
  <c r="N106" i="5" s="1"/>
  <c r="L107" i="5"/>
  <c r="L108" i="5"/>
  <c r="L109" i="5"/>
  <c r="L110" i="5"/>
  <c r="N110" i="5" s="1"/>
  <c r="L111" i="5"/>
  <c r="L112" i="5"/>
  <c r="L113" i="5"/>
  <c r="L114" i="5"/>
  <c r="N114" i="5" s="1"/>
  <c r="L115" i="5"/>
  <c r="L116" i="5"/>
  <c r="L117" i="5"/>
  <c r="L118" i="5"/>
  <c r="N118" i="5" s="1"/>
  <c r="L119" i="5"/>
  <c r="N119" i="5" s="1"/>
  <c r="L120" i="5"/>
  <c r="L121" i="5"/>
  <c r="L122" i="5"/>
  <c r="L123" i="5"/>
  <c r="L124" i="5"/>
  <c r="L128" i="5"/>
  <c r="L129" i="5"/>
  <c r="N129" i="5" s="1"/>
  <c r="L130" i="5"/>
  <c r="N130" i="5" s="1"/>
  <c r="L132" i="5"/>
  <c r="L133" i="5"/>
  <c r="N133" i="5" s="1"/>
  <c r="L134" i="5"/>
  <c r="N134" i="5" s="1"/>
  <c r="L135" i="5"/>
  <c r="L136" i="5"/>
  <c r="L137" i="5"/>
  <c r="N137" i="5" s="1"/>
  <c r="L138" i="5"/>
  <c r="N138" i="5" s="1"/>
  <c r="L139" i="5"/>
  <c r="L140" i="5"/>
  <c r="L141" i="5"/>
  <c r="N141" i="5" s="1"/>
  <c r="L142" i="5"/>
  <c r="N142" i="5" s="1"/>
  <c r="L143" i="5"/>
  <c r="N143" i="5" s="1"/>
  <c r="L144" i="5"/>
  <c r="L145" i="5"/>
  <c r="L146" i="5"/>
  <c r="N146" i="5" s="1"/>
  <c r="L147" i="5"/>
  <c r="N147" i="5" s="1"/>
  <c r="L148" i="5"/>
  <c r="L149" i="5"/>
  <c r="L150" i="5"/>
  <c r="N150" i="5" s="1"/>
  <c r="L151" i="5"/>
  <c r="N151" i="5" s="1"/>
  <c r="L152" i="5"/>
  <c r="L153" i="5"/>
  <c r="L154" i="5"/>
  <c r="N154" i="5" s="1"/>
  <c r="L155" i="5"/>
  <c r="N155" i="5" s="1"/>
  <c r="L156" i="5"/>
  <c r="N156" i="5" s="1"/>
  <c r="L157" i="5"/>
  <c r="L158" i="5"/>
  <c r="N158" i="5" s="1"/>
  <c r="L159" i="5"/>
  <c r="N159" i="5" s="1"/>
  <c r="L160" i="5"/>
  <c r="M160" i="5" s="1"/>
  <c r="L161" i="5"/>
  <c r="L162" i="5"/>
  <c r="L163" i="5"/>
  <c r="N163" i="5" s="1"/>
  <c r="L164" i="5"/>
  <c r="L165" i="5"/>
  <c r="L167" i="5"/>
  <c r="N167" i="5" s="1"/>
  <c r="L168" i="5"/>
  <c r="L169" i="5"/>
  <c r="L170" i="5"/>
  <c r="N170" i="5" s="1"/>
  <c r="L171" i="5"/>
  <c r="N171" i="5" s="1"/>
  <c r="L172" i="5"/>
  <c r="N172" i="5" s="1"/>
  <c r="L173" i="5"/>
  <c r="L174" i="5"/>
  <c r="N174" i="5" s="1"/>
  <c r="L175" i="5"/>
  <c r="N175" i="5" s="1"/>
  <c r="L176" i="5"/>
  <c r="L177" i="5"/>
  <c r="L178" i="5"/>
  <c r="N178" i="5" s="1"/>
  <c r="L179" i="5"/>
  <c r="N179" i="5" s="1"/>
  <c r="L180" i="5"/>
  <c r="L181" i="5"/>
  <c r="M181" i="5" s="1"/>
  <c r="L182" i="5"/>
  <c r="N182" i="5" s="1"/>
  <c r="L183" i="5"/>
  <c r="L184" i="5"/>
  <c r="L185" i="5"/>
  <c r="L186" i="5"/>
  <c r="N186" i="5" s="1"/>
  <c r="L188" i="5"/>
  <c r="N188" i="5" s="1"/>
  <c r="L189" i="5"/>
  <c r="L190" i="5"/>
  <c r="N190" i="5" s="1"/>
  <c r="L191" i="5"/>
  <c r="N191" i="5" s="1"/>
  <c r="L192" i="5"/>
  <c r="L193" i="5"/>
  <c r="L194" i="5"/>
  <c r="N194" i="5" s="1"/>
  <c r="L195" i="5"/>
  <c r="N195" i="5" s="1"/>
  <c r="L196" i="5"/>
  <c r="L197" i="5"/>
  <c r="L198" i="5"/>
  <c r="N198" i="5" s="1"/>
  <c r="L199" i="5"/>
  <c r="N199" i="5" s="1"/>
  <c r="L200" i="5"/>
  <c r="L201" i="5"/>
  <c r="L202" i="5"/>
  <c r="N202" i="5" s="1"/>
  <c r="L203" i="5"/>
  <c r="N203" i="5" s="1"/>
  <c r="L204" i="5"/>
  <c r="N204" i="5" s="1"/>
  <c r="L206" i="5"/>
  <c r="N206" i="5" s="1"/>
  <c r="L207" i="5"/>
  <c r="N207" i="5" s="1"/>
  <c r="L208" i="5"/>
  <c r="L209" i="5"/>
  <c r="L210" i="5"/>
  <c r="N210" i="5" s="1"/>
  <c r="L211" i="5"/>
  <c r="N211" i="5" s="1"/>
  <c r="L212" i="5"/>
  <c r="L213" i="5"/>
  <c r="L214" i="5"/>
  <c r="N214" i="5" s="1"/>
  <c r="L215" i="5"/>
  <c r="N215" i="5" s="1"/>
  <c r="L216" i="5"/>
  <c r="L217" i="5"/>
  <c r="L218" i="5"/>
  <c r="N218" i="5" s="1"/>
  <c r="L219" i="5"/>
  <c r="N219" i="5" s="1"/>
  <c r="L220" i="5"/>
  <c r="N220" i="5" s="1"/>
  <c r="L221" i="5"/>
  <c r="L222" i="5"/>
  <c r="N222" i="5" s="1"/>
  <c r="L224" i="5"/>
  <c r="L225" i="5"/>
  <c r="L226" i="5"/>
  <c r="N226" i="5" s="1"/>
  <c r="L227" i="5"/>
  <c r="N227" i="5" s="1"/>
  <c r="L228" i="5"/>
  <c r="L229" i="5"/>
  <c r="L230" i="5"/>
  <c r="L231" i="5"/>
  <c r="N231" i="5" s="1"/>
  <c r="L232" i="5"/>
  <c r="L233" i="5"/>
  <c r="L234" i="5"/>
  <c r="L235" i="5"/>
  <c r="N235" i="5" s="1"/>
  <c r="L236" i="5"/>
  <c r="N236" i="5" s="1"/>
  <c r="L237" i="5"/>
  <c r="L238" i="5"/>
  <c r="L239" i="5"/>
  <c r="N239" i="5" s="1"/>
  <c r="L240" i="5"/>
  <c r="L242" i="5"/>
  <c r="N242" i="5" s="1"/>
  <c r="L243" i="5"/>
  <c r="N243" i="5" s="1"/>
  <c r="L244" i="5"/>
  <c r="L245" i="5"/>
  <c r="M245" i="5" s="1"/>
  <c r="L246" i="5"/>
  <c r="L247" i="5"/>
  <c r="N247" i="5" s="1"/>
  <c r="L248" i="5"/>
  <c r="L249" i="5"/>
  <c r="L250" i="5"/>
  <c r="L251" i="5"/>
  <c r="N251" i="5" s="1"/>
  <c r="L252" i="5"/>
  <c r="N252" i="5" s="1"/>
  <c r="L253" i="5"/>
  <c r="L254" i="5"/>
  <c r="L255" i="5"/>
  <c r="N255" i="5" s="1"/>
  <c r="L256" i="5"/>
  <c r="L257" i="5"/>
  <c r="L258" i="5"/>
  <c r="N258" i="5" s="1"/>
  <c r="L259" i="5"/>
  <c r="N259" i="5" s="1"/>
  <c r="L260" i="5"/>
  <c r="L262" i="5"/>
  <c r="L263" i="5"/>
  <c r="N263" i="5" s="1"/>
  <c r="L264" i="5"/>
  <c r="L265" i="5"/>
  <c r="L266" i="5"/>
  <c r="L267" i="5"/>
  <c r="N267" i="5" s="1"/>
  <c r="L268" i="5"/>
  <c r="N268" i="5" s="1"/>
  <c r="L269" i="5"/>
  <c r="L270" i="5"/>
  <c r="L271" i="5"/>
  <c r="N271" i="5" s="1"/>
  <c r="L272" i="5"/>
  <c r="L273" i="5"/>
  <c r="L274" i="5"/>
  <c r="N274" i="5" s="1"/>
  <c r="L275" i="5"/>
  <c r="N275" i="5" s="1"/>
  <c r="L276" i="5"/>
  <c r="L277" i="5"/>
  <c r="L278" i="5"/>
  <c r="L279" i="5"/>
  <c r="N279" i="5" s="1"/>
  <c r="L280" i="5"/>
  <c r="L281" i="5"/>
  <c r="L282" i="5"/>
  <c r="L283" i="5"/>
  <c r="L284" i="5"/>
  <c r="N284" i="5" s="1"/>
  <c r="L285" i="5"/>
  <c r="L286" i="5"/>
  <c r="L287" i="5"/>
  <c r="L289" i="5"/>
  <c r="L290" i="5"/>
  <c r="N290" i="5" s="1"/>
  <c r="L291" i="5"/>
  <c r="L292" i="5"/>
  <c r="L293" i="5"/>
  <c r="L294" i="5"/>
  <c r="L295" i="5"/>
  <c r="N295" i="5" s="1"/>
  <c r="L296" i="5"/>
  <c r="L297" i="5"/>
  <c r="L298" i="5"/>
  <c r="L299" i="5"/>
  <c r="L300" i="5"/>
  <c r="N300" i="5" s="1"/>
  <c r="L301" i="5"/>
  <c r="L302" i="5"/>
  <c r="L303" i="5"/>
  <c r="L304" i="5"/>
  <c r="L305" i="5"/>
  <c r="L306" i="5"/>
  <c r="N306" i="5" s="1"/>
  <c r="L307" i="5"/>
  <c r="L308" i="5"/>
  <c r="L309" i="5"/>
  <c r="L310" i="5"/>
  <c r="L311" i="5"/>
  <c r="N311" i="5" s="1"/>
  <c r="L312" i="5"/>
  <c r="L313" i="5"/>
  <c r="L314" i="5"/>
  <c r="L315" i="5"/>
  <c r="L316" i="5"/>
  <c r="N316" i="5" s="1"/>
  <c r="L318" i="5"/>
  <c r="L319" i="5"/>
  <c r="L320" i="5"/>
  <c r="L321" i="5"/>
  <c r="L322" i="5"/>
  <c r="N322" i="5" s="1"/>
  <c r="L323" i="5"/>
  <c r="L324" i="5"/>
  <c r="L325" i="5"/>
  <c r="L326" i="5"/>
  <c r="L327" i="5"/>
  <c r="N327" i="5" s="1"/>
  <c r="L328" i="5"/>
  <c r="L329" i="5"/>
  <c r="L330" i="5"/>
  <c r="L331" i="5"/>
  <c r="M331" i="5" s="1"/>
  <c r="L332" i="5"/>
  <c r="N332" i="5" s="1"/>
  <c r="L333" i="5"/>
  <c r="L334" i="5"/>
  <c r="L335" i="5"/>
  <c r="L336" i="5"/>
  <c r="L337" i="5"/>
  <c r="L338" i="5"/>
  <c r="N338" i="5" s="1"/>
  <c r="L339" i="5"/>
  <c r="L340" i="5"/>
  <c r="L341" i="5"/>
  <c r="L342" i="5"/>
  <c r="L343" i="5"/>
  <c r="N343" i="5" s="1"/>
  <c r="L344" i="5"/>
  <c r="L345" i="5"/>
  <c r="L346" i="5"/>
  <c r="L347" i="5"/>
  <c r="L348" i="5"/>
  <c r="N348" i="5" s="1"/>
  <c r="L349" i="5"/>
  <c r="L351" i="5"/>
  <c r="L352" i="5"/>
  <c r="L353" i="5"/>
  <c r="L354" i="5"/>
  <c r="N354" i="5" s="1"/>
  <c r="L355" i="5"/>
  <c r="L356" i="5"/>
  <c r="L357" i="5"/>
  <c r="L358" i="5"/>
  <c r="N358" i="5" s="1"/>
  <c r="L359" i="5"/>
  <c r="L360" i="5"/>
  <c r="L361" i="5"/>
  <c r="L362" i="5"/>
  <c r="N362" i="5" s="1"/>
  <c r="L363" i="5"/>
  <c r="L364" i="5"/>
  <c r="L365" i="5"/>
  <c r="L366" i="5"/>
  <c r="N366" i="5" s="1"/>
  <c r="L367" i="5"/>
  <c r="L368" i="5"/>
  <c r="L369" i="5"/>
  <c r="L370" i="5"/>
  <c r="N370" i="5" s="1"/>
  <c r="L371" i="5"/>
  <c r="L372" i="5"/>
  <c r="L373" i="5"/>
  <c r="L374" i="5"/>
  <c r="N374" i="5" s="1"/>
  <c r="L375" i="5"/>
  <c r="L376" i="5"/>
  <c r="L377" i="5"/>
  <c r="L378" i="5"/>
  <c r="N378" i="5" s="1"/>
  <c r="L379" i="5"/>
  <c r="L380" i="5"/>
  <c r="L381" i="5"/>
  <c r="L382" i="5"/>
  <c r="N382" i="5" s="1"/>
  <c r="L384" i="5"/>
  <c r="L385" i="5"/>
  <c r="L386" i="5"/>
  <c r="N386" i="5" s="1"/>
  <c r="L387" i="5"/>
  <c r="L388" i="5"/>
  <c r="L389" i="5"/>
  <c r="L390" i="5"/>
  <c r="N390" i="5" s="1"/>
  <c r="L391" i="5"/>
  <c r="L392" i="5"/>
  <c r="L393" i="5"/>
  <c r="L394" i="5"/>
  <c r="N394" i="5" s="1"/>
  <c r="L395" i="5"/>
  <c r="L396" i="5"/>
  <c r="L397" i="5"/>
  <c r="L398" i="5"/>
  <c r="N398" i="5" s="1"/>
  <c r="L399" i="5"/>
  <c r="L400" i="5"/>
  <c r="M400" i="5" s="1"/>
  <c r="L401" i="5"/>
  <c r="L402" i="5"/>
  <c r="N402" i="5" s="1"/>
  <c r="L403" i="5"/>
  <c r="L404" i="5"/>
  <c r="L405" i="5"/>
  <c r="L406" i="5"/>
  <c r="N406" i="5" s="1"/>
  <c r="L407" i="5"/>
  <c r="L409" i="5"/>
  <c r="L410" i="5"/>
  <c r="N410" i="5" s="1"/>
  <c r="L411" i="5"/>
  <c r="L412" i="5"/>
  <c r="L413" i="5"/>
  <c r="L414" i="5"/>
  <c r="N414" i="5" s="1"/>
  <c r="L415" i="5"/>
  <c r="L416" i="5"/>
  <c r="L417" i="5"/>
  <c r="L418" i="5"/>
  <c r="N418" i="5" s="1"/>
  <c r="L419" i="5"/>
  <c r="L420" i="5"/>
  <c r="L421" i="5"/>
  <c r="L422" i="5"/>
  <c r="N422" i="5" s="1"/>
  <c r="L423" i="5"/>
  <c r="L424" i="5"/>
  <c r="L425" i="5"/>
  <c r="L426" i="5"/>
  <c r="N426" i="5" s="1"/>
  <c r="L427" i="5"/>
  <c r="L428" i="5"/>
  <c r="L429" i="5"/>
  <c r="L430" i="5"/>
  <c r="N430" i="5" s="1"/>
  <c r="L432" i="5"/>
  <c r="L433" i="5"/>
  <c r="L434" i="5"/>
  <c r="N434" i="5" s="1"/>
  <c r="L435" i="5"/>
  <c r="L436" i="5"/>
  <c r="L437" i="5"/>
  <c r="L438" i="5"/>
  <c r="N438" i="5" s="1"/>
  <c r="L439" i="5"/>
  <c r="L440" i="5"/>
  <c r="L441" i="5"/>
  <c r="L442" i="5"/>
  <c r="N442" i="5" s="1"/>
  <c r="L443" i="5"/>
  <c r="L444" i="5"/>
  <c r="L445" i="5"/>
  <c r="L446" i="5"/>
  <c r="N446" i="5" s="1"/>
  <c r="L447" i="5"/>
  <c r="L448" i="5"/>
  <c r="L449" i="5"/>
  <c r="L450" i="5"/>
  <c r="N450" i="5" s="1"/>
  <c r="L451" i="5"/>
  <c r="L452" i="5"/>
  <c r="L453" i="5"/>
  <c r="L454" i="5"/>
  <c r="N454" i="5" s="1"/>
  <c r="L455" i="5"/>
  <c r="L456" i="5"/>
  <c r="L457" i="5"/>
  <c r="L458" i="5"/>
  <c r="N458" i="5" s="1"/>
  <c r="L459" i="5"/>
  <c r="L460" i="5"/>
  <c r="L461" i="5"/>
  <c r="L462" i="5"/>
  <c r="N462" i="5" s="1"/>
  <c r="L463" i="5"/>
  <c r="L464" i="5"/>
  <c r="M464" i="5" s="1"/>
  <c r="L465" i="5"/>
  <c r="L467" i="5"/>
  <c r="L468" i="5"/>
  <c r="L469" i="5"/>
  <c r="L470" i="5"/>
  <c r="N470" i="5" s="1"/>
  <c r="L471" i="5"/>
  <c r="L472" i="5"/>
  <c r="L473" i="5"/>
  <c r="L474" i="5"/>
  <c r="N474" i="5" s="1"/>
  <c r="L475" i="5"/>
  <c r="L476" i="5"/>
  <c r="L477" i="5"/>
  <c r="L478" i="5"/>
  <c r="N478" i="5" s="1"/>
  <c r="L479" i="5"/>
  <c r="L480" i="5"/>
  <c r="L481" i="5"/>
  <c r="L482" i="5"/>
  <c r="N482" i="5" s="1"/>
  <c r="L483" i="5"/>
  <c r="L484" i="5"/>
  <c r="L485" i="5"/>
  <c r="L486" i="5"/>
  <c r="N486" i="5" s="1"/>
  <c r="L487" i="5"/>
  <c r="L488" i="5"/>
  <c r="L489" i="5"/>
  <c r="L490" i="5"/>
  <c r="N490" i="5" s="1"/>
  <c r="L491" i="5"/>
  <c r="L492" i="5"/>
  <c r="L494" i="5"/>
  <c r="M494" i="5" s="1"/>
  <c r="L495" i="5"/>
  <c r="L496" i="5"/>
  <c r="L497" i="5"/>
  <c r="L498" i="5"/>
  <c r="N498" i="5" s="1"/>
  <c r="L499" i="5"/>
  <c r="L500" i="5"/>
  <c r="L501" i="5"/>
  <c r="L502" i="5"/>
  <c r="N502" i="5" s="1"/>
  <c r="L503" i="5"/>
  <c r="L504" i="5"/>
  <c r="L505" i="5"/>
  <c r="L506" i="5"/>
  <c r="N506" i="5" s="1"/>
  <c r="L507" i="5"/>
  <c r="L508" i="5"/>
  <c r="L509" i="5"/>
  <c r="L510" i="5"/>
  <c r="N510" i="5" s="1"/>
  <c r="L511" i="5"/>
  <c r="L512" i="5"/>
  <c r="L513" i="5"/>
  <c r="L514" i="5"/>
  <c r="N514" i="5" s="1"/>
  <c r="L515" i="5"/>
  <c r="L516" i="5"/>
  <c r="L517" i="5"/>
  <c r="L518" i="5"/>
  <c r="N518" i="5" s="1"/>
  <c r="L519" i="5"/>
  <c r="L520" i="5"/>
  <c r="L521" i="5"/>
  <c r="L523" i="5"/>
  <c r="L524" i="5"/>
  <c r="L525" i="5"/>
  <c r="L526" i="5"/>
  <c r="N526" i="5" s="1"/>
  <c r="L527" i="5"/>
  <c r="L528" i="5"/>
  <c r="L529" i="5"/>
  <c r="L530" i="5"/>
  <c r="N530" i="5" s="1"/>
  <c r="L531" i="5"/>
  <c r="L532" i="5"/>
  <c r="L533" i="5"/>
  <c r="L534" i="5"/>
  <c r="N534" i="5" s="1"/>
  <c r="L535" i="5"/>
  <c r="L536" i="5"/>
  <c r="L537" i="5"/>
  <c r="M537" i="5" s="1"/>
  <c r="L538" i="5"/>
  <c r="N538" i="5" s="1"/>
  <c r="L539" i="5"/>
  <c r="L540" i="5"/>
  <c r="L541" i="5"/>
  <c r="L542" i="5"/>
  <c r="N542" i="5" s="1"/>
  <c r="L543" i="5"/>
  <c r="L544" i="5"/>
  <c r="L545" i="5"/>
  <c r="L546" i="5"/>
  <c r="N546" i="5" s="1"/>
  <c r="L547" i="5"/>
  <c r="L548" i="5"/>
  <c r="L549" i="5"/>
  <c r="L550" i="5"/>
  <c r="N550" i="5" s="1"/>
  <c r="L551" i="5"/>
  <c r="L552" i="5"/>
  <c r="L553" i="5"/>
  <c r="L554" i="5"/>
  <c r="N554" i="5" s="1"/>
  <c r="L555" i="5"/>
  <c r="L556" i="5"/>
  <c r="L558" i="5"/>
  <c r="N558" i="5" s="1"/>
  <c r="L559" i="5"/>
  <c r="L560" i="5"/>
  <c r="L561" i="5"/>
  <c r="L562" i="5"/>
  <c r="N562" i="5" s="1"/>
  <c r="L563" i="5"/>
  <c r="L564" i="5"/>
  <c r="L565" i="5"/>
  <c r="L566" i="5"/>
  <c r="N566" i="5" s="1"/>
  <c r="L567" i="5"/>
  <c r="L568" i="5"/>
  <c r="L569" i="5"/>
  <c r="L570" i="5"/>
  <c r="N570" i="5" s="1"/>
  <c r="L571" i="5"/>
  <c r="L572" i="5"/>
  <c r="L573" i="5"/>
  <c r="L574" i="5"/>
  <c r="N574" i="5" s="1"/>
  <c r="L575" i="5"/>
  <c r="L576" i="5"/>
  <c r="L577" i="5"/>
  <c r="L578" i="5"/>
  <c r="N578" i="5" s="1"/>
  <c r="L579" i="5"/>
  <c r="L580" i="5"/>
  <c r="M580" i="5" s="1"/>
  <c r="L581" i="5"/>
  <c r="L582" i="5"/>
  <c r="N582" i="5" s="1"/>
  <c r="L583" i="5"/>
  <c r="L584" i="5"/>
  <c r="L586" i="5"/>
  <c r="N586" i="5" s="1"/>
  <c r="L587" i="5"/>
  <c r="L588" i="5"/>
  <c r="L589" i="5"/>
  <c r="L590" i="5"/>
  <c r="N590" i="5" s="1"/>
  <c r="L591" i="5"/>
  <c r="L592" i="5"/>
  <c r="L593" i="5"/>
  <c r="L594" i="5"/>
  <c r="N594" i="5" s="1"/>
  <c r="L595" i="5"/>
  <c r="L596" i="5"/>
  <c r="L597" i="5"/>
  <c r="L598" i="5"/>
  <c r="N598" i="5" s="1"/>
  <c r="L599" i="5"/>
  <c r="L600" i="5"/>
  <c r="L601" i="5"/>
  <c r="M601" i="5" s="1"/>
  <c r="L602" i="5"/>
  <c r="N602" i="5" s="1"/>
  <c r="L603" i="5"/>
  <c r="L604" i="5"/>
  <c r="L605" i="5"/>
  <c r="L606" i="5"/>
  <c r="N606" i="5" s="1"/>
  <c r="L607" i="5"/>
  <c r="L608" i="5"/>
  <c r="L609" i="5"/>
  <c r="L610" i="5"/>
  <c r="N610" i="5" s="1"/>
  <c r="L611" i="5"/>
  <c r="L612" i="5"/>
  <c r="L614" i="5"/>
  <c r="N614" i="5" s="1"/>
  <c r="L615" i="5"/>
  <c r="L616" i="5"/>
  <c r="L617" i="5"/>
  <c r="L618" i="5"/>
  <c r="N618" i="5" s="1"/>
  <c r="L619" i="5"/>
  <c r="L620" i="5"/>
  <c r="L621" i="5"/>
  <c r="L622" i="5"/>
  <c r="M622" i="5" s="1"/>
  <c r="L623" i="5"/>
  <c r="L624" i="5"/>
  <c r="L625" i="5"/>
  <c r="L626" i="5"/>
  <c r="N626" i="5" s="1"/>
  <c r="L627" i="5"/>
  <c r="L628" i="5"/>
  <c r="L629" i="5"/>
  <c r="L630" i="5"/>
  <c r="N630" i="5" s="1"/>
  <c r="L631" i="5"/>
  <c r="L632" i="5"/>
  <c r="L633" i="5"/>
  <c r="L634" i="5"/>
  <c r="N634" i="5" s="1"/>
  <c r="L635" i="5"/>
  <c r="L636" i="5"/>
  <c r="L637" i="5"/>
  <c r="L638" i="5"/>
  <c r="N638" i="5" s="1"/>
  <c r="L639" i="5"/>
  <c r="L641" i="5"/>
  <c r="L642" i="5"/>
  <c r="N642" i="5" s="1"/>
  <c r="L643" i="5"/>
  <c r="L644" i="5"/>
  <c r="M644" i="5" s="1"/>
  <c r="L645" i="5"/>
  <c r="L646" i="5"/>
  <c r="N646" i="5" s="1"/>
  <c r="L647" i="5"/>
  <c r="L648" i="5"/>
  <c r="L649" i="5"/>
  <c r="L650" i="5"/>
  <c r="N650" i="5" s="1"/>
  <c r="L651" i="5"/>
  <c r="L652" i="5"/>
  <c r="L653" i="5"/>
  <c r="L654" i="5"/>
  <c r="N654" i="5" s="1"/>
  <c r="L655" i="5"/>
  <c r="L656" i="5"/>
  <c r="L657" i="5"/>
  <c r="L658" i="5"/>
  <c r="N658" i="5" s="1"/>
  <c r="L659" i="5"/>
  <c r="L660" i="5"/>
  <c r="L662" i="5"/>
  <c r="N662" i="5" s="1"/>
  <c r="L663" i="5"/>
  <c r="L664" i="5"/>
  <c r="L665" i="5"/>
  <c r="M665" i="5" s="1"/>
  <c r="L666" i="5"/>
  <c r="N666" i="5" s="1"/>
  <c r="L667" i="5"/>
  <c r="L668" i="5"/>
  <c r="L669" i="5"/>
  <c r="L670" i="5"/>
  <c r="N670" i="5" s="1"/>
  <c r="L671" i="5"/>
  <c r="L672" i="5"/>
  <c r="L673" i="5"/>
  <c r="L674" i="5"/>
  <c r="N674" i="5" s="1"/>
  <c r="L675" i="5"/>
  <c r="L676" i="5"/>
  <c r="L677" i="5"/>
  <c r="L678" i="5"/>
  <c r="N678" i="5" s="1"/>
  <c r="L679" i="5"/>
  <c r="L680" i="5"/>
  <c r="L681" i="5"/>
  <c r="M681" i="5" s="1"/>
  <c r="L52" i="5"/>
  <c r="L54" i="5"/>
  <c r="L55" i="5"/>
  <c r="L56" i="5"/>
  <c r="L57" i="5"/>
  <c r="L59" i="5"/>
  <c r="L60" i="5"/>
  <c r="L61" i="5"/>
  <c r="L62" i="5"/>
  <c r="N62" i="5" s="1"/>
  <c r="L63" i="5"/>
  <c r="L64" i="5"/>
  <c r="L65" i="5"/>
  <c r="L66" i="5"/>
  <c r="L67" i="5"/>
  <c r="L68" i="5"/>
  <c r="L69" i="5"/>
  <c r="L70" i="5"/>
  <c r="L71" i="5"/>
  <c r="L72" i="5"/>
  <c r="L73" i="5"/>
  <c r="L74" i="5"/>
  <c r="L75" i="5"/>
  <c r="L76" i="5"/>
  <c r="L77" i="5"/>
  <c r="L78" i="5"/>
  <c r="N78" i="5" s="1"/>
  <c r="L79" i="5"/>
  <c r="L80" i="5"/>
  <c r="L81" i="5"/>
  <c r="L82" i="5"/>
  <c r="L17" i="5"/>
  <c r="L18" i="5"/>
  <c r="L19" i="5"/>
  <c r="L20" i="5"/>
  <c r="L21" i="5"/>
  <c r="L23" i="5"/>
  <c r="L24" i="5"/>
  <c r="L25" i="5"/>
  <c r="L26" i="5"/>
  <c r="L27" i="5"/>
  <c r="L28" i="5"/>
  <c r="N28" i="5" s="1"/>
  <c r="L29" i="5"/>
  <c r="L30" i="5"/>
  <c r="L31" i="5"/>
  <c r="L32" i="5"/>
  <c r="L33" i="5"/>
  <c r="L34" i="5"/>
  <c r="L36" i="5"/>
  <c r="L37" i="5"/>
  <c r="L38" i="5"/>
  <c r="L39" i="5"/>
  <c r="L40" i="5"/>
  <c r="L41" i="5"/>
  <c r="L42" i="5"/>
  <c r="L43" i="5"/>
  <c r="L44" i="5"/>
  <c r="L45" i="5"/>
  <c r="N45" i="5" s="1"/>
  <c r="L46" i="5"/>
  <c r="L47" i="5"/>
  <c r="L48" i="5"/>
  <c r="L49" i="5"/>
  <c r="L50" i="5"/>
  <c r="L51" i="5"/>
  <c r="L14" i="5"/>
  <c r="L15" i="5"/>
  <c r="L13" i="5"/>
  <c r="L12" i="5"/>
  <c r="L6" i="5"/>
  <c r="L5" i="5"/>
  <c r="L4" i="5"/>
  <c r="L3" i="5"/>
  <c r="H6" i="5"/>
  <c r="H183" i="5"/>
  <c r="H162" i="5"/>
  <c r="H161" i="5"/>
  <c r="H124" i="5"/>
  <c r="H123" i="5"/>
  <c r="H122" i="5"/>
  <c r="H121" i="5"/>
  <c r="H120" i="5"/>
  <c r="H92" i="5"/>
  <c r="H91" i="5"/>
  <c r="H90" i="5"/>
  <c r="H89" i="5"/>
  <c r="H88" i="5"/>
  <c r="H87" i="5"/>
  <c r="H51" i="5"/>
  <c r="H5" i="5"/>
  <c r="H4" i="5"/>
  <c r="H3" i="5"/>
  <c r="A10" i="3"/>
  <c r="A5" i="3"/>
  <c r="D20" i="4" l="1"/>
  <c r="F20" i="4" s="1"/>
  <c r="D14" i="4"/>
  <c r="F14" i="4" s="1"/>
  <c r="D21" i="4"/>
  <c r="F21" i="4" s="1"/>
  <c r="D16" i="4"/>
  <c r="F16" i="4" s="1"/>
  <c r="D23" i="4"/>
  <c r="F23" i="4" s="1"/>
  <c r="D15" i="4"/>
  <c r="F15" i="4" s="1"/>
  <c r="D19" i="4"/>
  <c r="F19" i="4" s="1"/>
  <c r="H12" i="3"/>
  <c r="H11" i="3"/>
  <c r="N705" i="5"/>
  <c r="N738" i="5"/>
  <c r="N730" i="5"/>
  <c r="N726" i="5"/>
  <c r="N722" i="5"/>
  <c r="N718" i="5"/>
  <c r="N714" i="5"/>
  <c r="N710" i="5"/>
  <c r="N706" i="5"/>
  <c r="N742" i="5"/>
  <c r="N734" i="5"/>
  <c r="N9" i="5"/>
  <c r="M683" i="5"/>
  <c r="N10" i="5"/>
  <c r="N684" i="5"/>
  <c r="N701" i="5"/>
  <c r="N700" i="5"/>
  <c r="N699" i="5"/>
  <c r="M698" i="5"/>
  <c r="M694" i="5"/>
  <c r="M691" i="5"/>
  <c r="N695" i="5"/>
  <c r="M704" i="5"/>
  <c r="N702" i="5"/>
  <c r="N696" i="5"/>
  <c r="N692" i="5"/>
  <c r="N53" i="5"/>
  <c r="N686" i="5"/>
  <c r="N689" i="5"/>
  <c r="N703" i="5"/>
  <c r="N697" i="5"/>
  <c r="N693" i="5"/>
  <c r="N690" i="5"/>
  <c r="N687" i="5"/>
  <c r="M688" i="5"/>
  <c r="M685" i="5"/>
  <c r="N125" i="5"/>
  <c r="N11" i="5"/>
  <c r="N126" i="5"/>
  <c r="N8" i="5"/>
  <c r="N22" i="5"/>
  <c r="N7" i="5"/>
  <c r="M35" i="5"/>
  <c r="N127" i="5"/>
  <c r="M474" i="5"/>
  <c r="M199" i="5"/>
  <c r="M394" i="5"/>
  <c r="M28" i="5"/>
  <c r="M618" i="5"/>
  <c r="M263" i="5"/>
  <c r="M554" i="5"/>
  <c r="M231" i="5"/>
  <c r="M167" i="5"/>
  <c r="M602" i="5"/>
  <c r="M538" i="5"/>
  <c r="M458" i="5"/>
  <c r="M362" i="5"/>
  <c r="M258" i="5"/>
  <c r="M226" i="5"/>
  <c r="M194" i="5"/>
  <c r="M151" i="5"/>
  <c r="M119" i="5"/>
  <c r="N622" i="5"/>
  <c r="M650" i="5"/>
  <c r="M586" i="5"/>
  <c r="M506" i="5"/>
  <c r="M442" i="5"/>
  <c r="M343" i="5"/>
  <c r="M247" i="5"/>
  <c r="M215" i="5"/>
  <c r="M178" i="5"/>
  <c r="M146" i="5"/>
  <c r="M110" i="5"/>
  <c r="N537" i="5"/>
  <c r="M133" i="5"/>
  <c r="M634" i="5"/>
  <c r="M570" i="5"/>
  <c r="M490" i="5"/>
  <c r="M410" i="5"/>
  <c r="M322" i="5"/>
  <c r="M236" i="5"/>
  <c r="M210" i="5"/>
  <c r="M172" i="5"/>
  <c r="M138" i="5"/>
  <c r="M94" i="5"/>
  <c r="N245" i="5"/>
  <c r="N40" i="5"/>
  <c r="M40" i="5"/>
  <c r="N36" i="5"/>
  <c r="M36" i="5"/>
  <c r="N57" i="5"/>
  <c r="M57" i="5"/>
  <c r="M660" i="5"/>
  <c r="N660" i="5"/>
  <c r="N652" i="5"/>
  <c r="M652" i="5"/>
  <c r="N612" i="5"/>
  <c r="M612" i="5"/>
  <c r="N600" i="5"/>
  <c r="M600" i="5"/>
  <c r="M596" i="5"/>
  <c r="N596" i="5"/>
  <c r="N592" i="5"/>
  <c r="M592" i="5"/>
  <c r="N588" i="5"/>
  <c r="M588" i="5"/>
  <c r="N556" i="5"/>
  <c r="M556" i="5"/>
  <c r="N544" i="5"/>
  <c r="M544" i="5"/>
  <c r="M532" i="5"/>
  <c r="N532" i="5"/>
  <c r="N492" i="5"/>
  <c r="M492" i="5"/>
  <c r="N480" i="5"/>
  <c r="M480" i="5"/>
  <c r="N472" i="5"/>
  <c r="M472" i="5"/>
  <c r="N460" i="5"/>
  <c r="M460" i="5"/>
  <c r="N452" i="5"/>
  <c r="M452" i="5"/>
  <c r="N444" i="5"/>
  <c r="M444" i="5"/>
  <c r="N440" i="5"/>
  <c r="M440" i="5"/>
  <c r="N432" i="5"/>
  <c r="M432" i="5"/>
  <c r="N420" i="5"/>
  <c r="M420" i="5"/>
  <c r="N412" i="5"/>
  <c r="M412" i="5"/>
  <c r="N388" i="5"/>
  <c r="M388" i="5"/>
  <c r="N372" i="5"/>
  <c r="M372" i="5"/>
  <c r="N364" i="5"/>
  <c r="M364" i="5"/>
  <c r="N352" i="5"/>
  <c r="M352" i="5"/>
  <c r="N312" i="5"/>
  <c r="N280" i="5"/>
  <c r="N264" i="5"/>
  <c r="M264" i="5"/>
  <c r="N238" i="5"/>
  <c r="M238" i="5"/>
  <c r="N230" i="5"/>
  <c r="M230" i="5"/>
  <c r="N200" i="5"/>
  <c r="M200" i="5"/>
  <c r="N196" i="5"/>
  <c r="M196" i="5"/>
  <c r="N192" i="5"/>
  <c r="M192" i="5"/>
  <c r="M666" i="5"/>
  <c r="M300" i="5"/>
  <c r="N400" i="5"/>
  <c r="N3" i="5"/>
  <c r="N12" i="5"/>
  <c r="M12" i="5"/>
  <c r="N51" i="5"/>
  <c r="N47" i="5"/>
  <c r="M47" i="5"/>
  <c r="N43" i="5"/>
  <c r="M43" i="5"/>
  <c r="N39" i="5"/>
  <c r="M39" i="5"/>
  <c r="N34" i="5"/>
  <c r="M34" i="5"/>
  <c r="N30" i="5"/>
  <c r="M30" i="5"/>
  <c r="N26" i="5"/>
  <c r="M26" i="5"/>
  <c r="N21" i="5"/>
  <c r="M21" i="5"/>
  <c r="N17" i="5"/>
  <c r="M17" i="5"/>
  <c r="N80" i="5"/>
  <c r="M80" i="5"/>
  <c r="N76" i="5"/>
  <c r="M76" i="5"/>
  <c r="M72" i="5"/>
  <c r="N72" i="5"/>
  <c r="N68" i="5"/>
  <c r="M68" i="5"/>
  <c r="N64" i="5"/>
  <c r="M64" i="5"/>
  <c r="N60" i="5"/>
  <c r="M60" i="5"/>
  <c r="N56" i="5"/>
  <c r="M56" i="5"/>
  <c r="N675" i="5"/>
  <c r="M675" i="5"/>
  <c r="N671" i="5"/>
  <c r="M671" i="5"/>
  <c r="N667" i="5"/>
  <c r="M667" i="5"/>
  <c r="N663" i="5"/>
  <c r="M663" i="5"/>
  <c r="N659" i="5"/>
  <c r="M659" i="5"/>
  <c r="N655" i="5"/>
  <c r="M655" i="5"/>
  <c r="N651" i="5"/>
  <c r="M651" i="5"/>
  <c r="N647" i="5"/>
  <c r="M647" i="5"/>
  <c r="N643" i="5"/>
  <c r="M643" i="5"/>
  <c r="N639" i="5"/>
  <c r="M639" i="5"/>
  <c r="N635" i="5"/>
  <c r="M635" i="5"/>
  <c r="N631" i="5"/>
  <c r="M631" i="5"/>
  <c r="N627" i="5"/>
  <c r="M627" i="5"/>
  <c r="N623" i="5"/>
  <c r="M623" i="5"/>
  <c r="N619" i="5"/>
  <c r="M619" i="5"/>
  <c r="N615" i="5"/>
  <c r="M615" i="5"/>
  <c r="N611" i="5"/>
  <c r="M611" i="5"/>
  <c r="N607" i="5"/>
  <c r="M607" i="5"/>
  <c r="N603" i="5"/>
  <c r="M603" i="5"/>
  <c r="N599" i="5"/>
  <c r="M599" i="5"/>
  <c r="N595" i="5"/>
  <c r="M595" i="5"/>
  <c r="N591" i="5"/>
  <c r="M591" i="5"/>
  <c r="N587" i="5"/>
  <c r="M587" i="5"/>
  <c r="N583" i="5"/>
  <c r="M583" i="5"/>
  <c r="N579" i="5"/>
  <c r="M579" i="5"/>
  <c r="N575" i="5"/>
  <c r="M575" i="5"/>
  <c r="N571" i="5"/>
  <c r="M571" i="5"/>
  <c r="N567" i="5"/>
  <c r="M567" i="5"/>
  <c r="N563" i="5"/>
  <c r="M563" i="5"/>
  <c r="N559" i="5"/>
  <c r="M559" i="5"/>
  <c r="N555" i="5"/>
  <c r="M555" i="5"/>
  <c r="N551" i="5"/>
  <c r="N547" i="5"/>
  <c r="M547" i="5"/>
  <c r="N543" i="5"/>
  <c r="M543" i="5"/>
  <c r="N539" i="5"/>
  <c r="M539" i="5"/>
  <c r="N535" i="5"/>
  <c r="M535" i="5"/>
  <c r="N531" i="5"/>
  <c r="M531" i="5"/>
  <c r="N527" i="5"/>
  <c r="M527" i="5"/>
  <c r="N523" i="5"/>
  <c r="M523" i="5"/>
  <c r="N519" i="5"/>
  <c r="M519" i="5"/>
  <c r="N515" i="5"/>
  <c r="N511" i="5"/>
  <c r="M511" i="5"/>
  <c r="N507" i="5"/>
  <c r="M507" i="5"/>
  <c r="N503" i="5"/>
  <c r="M503" i="5"/>
  <c r="N499" i="5"/>
  <c r="M499" i="5"/>
  <c r="N495" i="5"/>
  <c r="M495" i="5"/>
  <c r="N491" i="5"/>
  <c r="M491" i="5"/>
  <c r="N487" i="5"/>
  <c r="M487" i="5"/>
  <c r="N483" i="5"/>
  <c r="M483" i="5"/>
  <c r="N479" i="5"/>
  <c r="M479" i="5"/>
  <c r="N475" i="5"/>
  <c r="M475" i="5"/>
  <c r="N471" i="5"/>
  <c r="M471" i="5"/>
  <c r="N467" i="5"/>
  <c r="M467" i="5"/>
  <c r="N463" i="5"/>
  <c r="M463" i="5"/>
  <c r="N459" i="5"/>
  <c r="M459" i="5"/>
  <c r="N455" i="5"/>
  <c r="M455" i="5"/>
  <c r="N451" i="5"/>
  <c r="M451" i="5"/>
  <c r="N447" i="5"/>
  <c r="M447" i="5"/>
  <c r="N443" i="5"/>
  <c r="M443" i="5"/>
  <c r="N439" i="5"/>
  <c r="M439" i="5"/>
  <c r="N435" i="5"/>
  <c r="M435" i="5"/>
  <c r="N427" i="5"/>
  <c r="M427" i="5"/>
  <c r="N423" i="5"/>
  <c r="M423" i="5"/>
  <c r="N419" i="5"/>
  <c r="M419" i="5"/>
  <c r="N415" i="5"/>
  <c r="M415" i="5"/>
  <c r="N411" i="5"/>
  <c r="M411" i="5"/>
  <c r="N407" i="5"/>
  <c r="M407" i="5"/>
  <c r="N403" i="5"/>
  <c r="M403" i="5"/>
  <c r="N399" i="5"/>
  <c r="M399" i="5"/>
  <c r="N395" i="5"/>
  <c r="M395" i="5"/>
  <c r="N391" i="5"/>
  <c r="M391" i="5"/>
  <c r="N387" i="5"/>
  <c r="M387" i="5"/>
  <c r="N379" i="5"/>
  <c r="N375" i="5"/>
  <c r="M375" i="5"/>
  <c r="N371" i="5"/>
  <c r="M371" i="5"/>
  <c r="N367" i="5"/>
  <c r="M367" i="5"/>
  <c r="N363" i="5"/>
  <c r="M363" i="5"/>
  <c r="N359" i="5"/>
  <c r="M359" i="5"/>
  <c r="N355" i="5"/>
  <c r="M355" i="5"/>
  <c r="N351" i="5"/>
  <c r="M351" i="5"/>
  <c r="N347" i="5"/>
  <c r="M347" i="5"/>
  <c r="N339" i="5"/>
  <c r="M339" i="5"/>
  <c r="N335" i="5"/>
  <c r="M335" i="5"/>
  <c r="N323" i="5"/>
  <c r="M323" i="5"/>
  <c r="N319" i="5"/>
  <c r="M319" i="5"/>
  <c r="N315" i="5"/>
  <c r="M315" i="5"/>
  <c r="N307" i="5"/>
  <c r="M307" i="5"/>
  <c r="N303" i="5"/>
  <c r="M303" i="5"/>
  <c r="N299" i="5"/>
  <c r="M299" i="5"/>
  <c r="N291" i="5"/>
  <c r="M291" i="5"/>
  <c r="N287" i="5"/>
  <c r="M287" i="5"/>
  <c r="N283" i="5"/>
  <c r="N254" i="5"/>
  <c r="M254" i="5"/>
  <c r="N250" i="5"/>
  <c r="M250" i="5"/>
  <c r="N246" i="5"/>
  <c r="M246" i="5"/>
  <c r="N216" i="5"/>
  <c r="M216" i="5"/>
  <c r="N212" i="5"/>
  <c r="M212" i="5"/>
  <c r="N208" i="5"/>
  <c r="M208" i="5"/>
  <c r="M96" i="5"/>
  <c r="N96" i="5"/>
  <c r="N92" i="5"/>
  <c r="N88" i="5"/>
  <c r="N84" i="5"/>
  <c r="M84" i="5"/>
  <c r="M662" i="5"/>
  <c r="M646" i="5"/>
  <c r="M630" i="5"/>
  <c r="M614" i="5"/>
  <c r="M598" i="5"/>
  <c r="M582" i="5"/>
  <c r="M566" i="5"/>
  <c r="M534" i="5"/>
  <c r="M502" i="5"/>
  <c r="M486" i="5"/>
  <c r="M470" i="5"/>
  <c r="M454" i="5"/>
  <c r="M438" i="5"/>
  <c r="M422" i="5"/>
  <c r="M406" i="5"/>
  <c r="M390" i="5"/>
  <c r="M374" i="5"/>
  <c r="M358" i="5"/>
  <c r="M338" i="5"/>
  <c r="M316" i="5"/>
  <c r="M295" i="5"/>
  <c r="M274" i="5"/>
  <c r="M252" i="5"/>
  <c r="M188" i="5"/>
  <c r="M78" i="5"/>
  <c r="N681" i="5"/>
  <c r="N601" i="5"/>
  <c r="N516" i="5"/>
  <c r="N331" i="5"/>
  <c r="N14" i="5"/>
  <c r="M14" i="5"/>
  <c r="N48" i="5"/>
  <c r="M48" i="5"/>
  <c r="N31" i="5"/>
  <c r="M31" i="5"/>
  <c r="N23" i="5"/>
  <c r="M23" i="5"/>
  <c r="N81" i="5"/>
  <c r="M81" i="5"/>
  <c r="N69" i="5"/>
  <c r="M69" i="5"/>
  <c r="N61" i="5"/>
  <c r="M61" i="5"/>
  <c r="N679" i="5"/>
  <c r="M679" i="5"/>
  <c r="N656" i="5"/>
  <c r="M656" i="5"/>
  <c r="N632" i="5"/>
  <c r="M632" i="5"/>
  <c r="N624" i="5"/>
  <c r="M624" i="5"/>
  <c r="N616" i="5"/>
  <c r="M616" i="5"/>
  <c r="N604" i="5"/>
  <c r="M604" i="5"/>
  <c r="N584" i="5"/>
  <c r="M584" i="5"/>
  <c r="N576" i="5"/>
  <c r="M576" i="5"/>
  <c r="N568" i="5"/>
  <c r="M568" i="5"/>
  <c r="N560" i="5"/>
  <c r="M560" i="5"/>
  <c r="N548" i="5"/>
  <c r="N536" i="5"/>
  <c r="M536" i="5"/>
  <c r="N524" i="5"/>
  <c r="M524" i="5"/>
  <c r="N512" i="5"/>
  <c r="M512" i="5"/>
  <c r="N488" i="5"/>
  <c r="M488" i="5"/>
  <c r="N476" i="5"/>
  <c r="M476" i="5"/>
  <c r="N456" i="5"/>
  <c r="M456" i="5"/>
  <c r="M448" i="5"/>
  <c r="N448" i="5"/>
  <c r="N436" i="5"/>
  <c r="M436" i="5"/>
  <c r="N428" i="5"/>
  <c r="M428" i="5"/>
  <c r="N416" i="5"/>
  <c r="M416" i="5"/>
  <c r="N392" i="5"/>
  <c r="M392" i="5"/>
  <c r="N376" i="5"/>
  <c r="M376" i="5"/>
  <c r="N344" i="5"/>
  <c r="M344" i="5"/>
  <c r="N336" i="5"/>
  <c r="M336" i="5"/>
  <c r="N324" i="5"/>
  <c r="M324" i="5"/>
  <c r="N304" i="5"/>
  <c r="M304" i="5"/>
  <c r="N296" i="5"/>
  <c r="M296" i="5"/>
  <c r="N272" i="5"/>
  <c r="M272" i="5"/>
  <c r="N234" i="5"/>
  <c r="M234" i="5"/>
  <c r="N4" i="5"/>
  <c r="N13" i="5"/>
  <c r="M13" i="5"/>
  <c r="M42" i="5"/>
  <c r="N42" i="5"/>
  <c r="N33" i="5"/>
  <c r="M33" i="5"/>
  <c r="N25" i="5"/>
  <c r="M25" i="5"/>
  <c r="N79" i="5"/>
  <c r="M79" i="5"/>
  <c r="N71" i="5"/>
  <c r="M71" i="5"/>
  <c r="N63" i="5"/>
  <c r="M63" i="5"/>
  <c r="N55" i="5"/>
  <c r="M55" i="5"/>
  <c r="N346" i="5"/>
  <c r="N342" i="5"/>
  <c r="M342" i="5"/>
  <c r="N334" i="5"/>
  <c r="M334" i="5"/>
  <c r="N330" i="5"/>
  <c r="M330" i="5"/>
  <c r="N326" i="5"/>
  <c r="M326" i="5"/>
  <c r="N318" i="5"/>
  <c r="M318" i="5"/>
  <c r="N314" i="5"/>
  <c r="M314" i="5"/>
  <c r="N310" i="5"/>
  <c r="M310" i="5"/>
  <c r="N302" i="5"/>
  <c r="M302" i="5"/>
  <c r="N298" i="5"/>
  <c r="M298" i="5"/>
  <c r="N294" i="5"/>
  <c r="M294" i="5"/>
  <c r="N286" i="5"/>
  <c r="M286" i="5"/>
  <c r="N282" i="5"/>
  <c r="N278" i="5"/>
  <c r="N270" i="5"/>
  <c r="M270" i="5"/>
  <c r="N266" i="5"/>
  <c r="M266" i="5"/>
  <c r="N262" i="5"/>
  <c r="M262" i="5"/>
  <c r="N240" i="5"/>
  <c r="M240" i="5"/>
  <c r="N232" i="5"/>
  <c r="M232" i="5"/>
  <c r="N228" i="5"/>
  <c r="M228" i="5"/>
  <c r="N224" i="5"/>
  <c r="M224" i="5"/>
  <c r="N164" i="5"/>
  <c r="M164" i="5"/>
  <c r="N152" i="5"/>
  <c r="M152" i="5"/>
  <c r="N148" i="5"/>
  <c r="M148" i="5"/>
  <c r="N144" i="5"/>
  <c r="M144" i="5"/>
  <c r="M139" i="5"/>
  <c r="N139" i="5"/>
  <c r="N135" i="5"/>
  <c r="M135" i="5"/>
  <c r="N124" i="5"/>
  <c r="N120" i="5"/>
  <c r="N116" i="5"/>
  <c r="M116" i="5"/>
  <c r="N112" i="5"/>
  <c r="M112" i="5"/>
  <c r="N108" i="5"/>
  <c r="M108" i="5"/>
  <c r="M104" i="5"/>
  <c r="N104" i="5"/>
  <c r="N100" i="5"/>
  <c r="M100" i="5"/>
  <c r="M674" i="5"/>
  <c r="M658" i="5"/>
  <c r="M642" i="5"/>
  <c r="M626" i="5"/>
  <c r="M610" i="5"/>
  <c r="M594" i="5"/>
  <c r="M578" i="5"/>
  <c r="M562" i="5"/>
  <c r="M546" i="5"/>
  <c r="M530" i="5"/>
  <c r="M514" i="5"/>
  <c r="M498" i="5"/>
  <c r="M482" i="5"/>
  <c r="M450" i="5"/>
  <c r="M434" i="5"/>
  <c r="M418" i="5"/>
  <c r="M402" i="5"/>
  <c r="M386" i="5"/>
  <c r="M370" i="5"/>
  <c r="M354" i="5"/>
  <c r="M332" i="5"/>
  <c r="M290" i="5"/>
  <c r="M268" i="5"/>
  <c r="M204" i="5"/>
  <c r="M141" i="5"/>
  <c r="M62" i="5"/>
  <c r="N665" i="5"/>
  <c r="N580" i="5"/>
  <c r="N494" i="5"/>
  <c r="N6" i="5"/>
  <c r="N44" i="5"/>
  <c r="M44" i="5"/>
  <c r="N27" i="5"/>
  <c r="M27" i="5"/>
  <c r="N18" i="5"/>
  <c r="M18" i="5"/>
  <c r="N77" i="5"/>
  <c r="M77" i="5"/>
  <c r="N73" i="5"/>
  <c r="M73" i="5"/>
  <c r="N65" i="5"/>
  <c r="M65" i="5"/>
  <c r="N52" i="5"/>
  <c r="N676" i="5"/>
  <c r="N672" i="5"/>
  <c r="M672" i="5"/>
  <c r="N668" i="5"/>
  <c r="M668" i="5"/>
  <c r="N664" i="5"/>
  <c r="M664" i="5"/>
  <c r="N648" i="5"/>
  <c r="M648" i="5"/>
  <c r="N636" i="5"/>
  <c r="N628" i="5"/>
  <c r="M628" i="5"/>
  <c r="N620" i="5"/>
  <c r="M620" i="5"/>
  <c r="N608" i="5"/>
  <c r="N572" i="5"/>
  <c r="M572" i="5"/>
  <c r="N564" i="5"/>
  <c r="M564" i="5"/>
  <c r="N552" i="5"/>
  <c r="N540" i="5"/>
  <c r="M540" i="5"/>
  <c r="N528" i="5"/>
  <c r="M528" i="5"/>
  <c r="N520" i="5"/>
  <c r="M520" i="5"/>
  <c r="N508" i="5"/>
  <c r="M508" i="5"/>
  <c r="N504" i="5"/>
  <c r="M504" i="5"/>
  <c r="N500" i="5"/>
  <c r="M500" i="5"/>
  <c r="N496" i="5"/>
  <c r="M496" i="5"/>
  <c r="N484" i="5"/>
  <c r="M484" i="5"/>
  <c r="N468" i="5"/>
  <c r="M468" i="5"/>
  <c r="N424" i="5"/>
  <c r="M424" i="5"/>
  <c r="N404" i="5"/>
  <c r="N396" i="5"/>
  <c r="M396" i="5"/>
  <c r="M384" i="5"/>
  <c r="N384" i="5"/>
  <c r="N380" i="5"/>
  <c r="M380" i="5"/>
  <c r="N368" i="5"/>
  <c r="M368" i="5"/>
  <c r="N360" i="5"/>
  <c r="M360" i="5"/>
  <c r="N356" i="5"/>
  <c r="M356" i="5"/>
  <c r="N340" i="5"/>
  <c r="M340" i="5"/>
  <c r="N328" i="5"/>
  <c r="M328" i="5"/>
  <c r="N320" i="5"/>
  <c r="M320" i="5"/>
  <c r="N308" i="5"/>
  <c r="M308" i="5"/>
  <c r="N292" i="5"/>
  <c r="M292" i="5"/>
  <c r="N276" i="5"/>
  <c r="M276" i="5"/>
  <c r="N50" i="5"/>
  <c r="M50" i="5"/>
  <c r="N46" i="5"/>
  <c r="M46" i="5"/>
  <c r="N38" i="5"/>
  <c r="M38" i="5"/>
  <c r="N29" i="5"/>
  <c r="M29" i="5"/>
  <c r="N20" i="5"/>
  <c r="M20" i="5"/>
  <c r="N75" i="5"/>
  <c r="M75" i="5"/>
  <c r="N67" i="5"/>
  <c r="M67" i="5"/>
  <c r="M59" i="5"/>
  <c r="N59" i="5"/>
  <c r="N5" i="5"/>
  <c r="N15" i="5"/>
  <c r="M15" i="5"/>
  <c r="N49" i="5"/>
  <c r="M49" i="5"/>
  <c r="N41" i="5"/>
  <c r="M41" i="5"/>
  <c r="N37" i="5"/>
  <c r="M37" i="5"/>
  <c r="N32" i="5"/>
  <c r="M32" i="5"/>
  <c r="N24" i="5"/>
  <c r="M24" i="5"/>
  <c r="N19" i="5"/>
  <c r="M19" i="5"/>
  <c r="N82" i="5"/>
  <c r="M82" i="5"/>
  <c r="N74" i="5"/>
  <c r="M74" i="5"/>
  <c r="N70" i="5"/>
  <c r="M70" i="5"/>
  <c r="N66" i="5"/>
  <c r="M66" i="5"/>
  <c r="N54" i="5"/>
  <c r="M54" i="5"/>
  <c r="N680" i="5"/>
  <c r="M680" i="5"/>
  <c r="N677" i="5"/>
  <c r="N673" i="5"/>
  <c r="M673" i="5"/>
  <c r="N669" i="5"/>
  <c r="M669" i="5"/>
  <c r="N657" i="5"/>
  <c r="N653" i="5"/>
  <c r="M653" i="5"/>
  <c r="N649" i="5"/>
  <c r="M649" i="5"/>
  <c r="N645" i="5"/>
  <c r="M645" i="5"/>
  <c r="N641" i="5"/>
  <c r="M641" i="5"/>
  <c r="N637" i="5"/>
  <c r="M637" i="5"/>
  <c r="N633" i="5"/>
  <c r="M633" i="5"/>
  <c r="N629" i="5"/>
  <c r="M629" i="5"/>
  <c r="N625" i="5"/>
  <c r="M625" i="5"/>
  <c r="N621" i="5"/>
  <c r="M621" i="5"/>
  <c r="N617" i="5"/>
  <c r="M617" i="5"/>
  <c r="N609" i="5"/>
  <c r="N605" i="5"/>
  <c r="M605" i="5"/>
  <c r="N597" i="5"/>
  <c r="M597" i="5"/>
  <c r="N593" i="5"/>
  <c r="M593" i="5"/>
  <c r="N589" i="5"/>
  <c r="M589" i="5"/>
  <c r="N581" i="5"/>
  <c r="N577" i="5"/>
  <c r="M577" i="5"/>
  <c r="N573" i="5"/>
  <c r="M573" i="5"/>
  <c r="N569" i="5"/>
  <c r="M569" i="5"/>
  <c r="N565" i="5"/>
  <c r="M565" i="5"/>
  <c r="N561" i="5"/>
  <c r="M561" i="5"/>
  <c r="N553" i="5"/>
  <c r="N549" i="5"/>
  <c r="N545" i="5"/>
  <c r="M545" i="5"/>
  <c r="N541" i="5"/>
  <c r="M541" i="5"/>
  <c r="N533" i="5"/>
  <c r="M533" i="5"/>
  <c r="N529" i="5"/>
  <c r="M529" i="5"/>
  <c r="N525" i="5"/>
  <c r="M525" i="5"/>
  <c r="N521" i="5"/>
  <c r="M521" i="5"/>
  <c r="N517" i="5"/>
  <c r="N513" i="5"/>
  <c r="M513" i="5"/>
  <c r="N509" i="5"/>
  <c r="M509" i="5"/>
  <c r="N505" i="5"/>
  <c r="M505" i="5"/>
  <c r="N501" i="5"/>
  <c r="M501" i="5"/>
  <c r="N497" i="5"/>
  <c r="M497" i="5"/>
  <c r="N489" i="5"/>
  <c r="N485" i="5"/>
  <c r="M485" i="5"/>
  <c r="N481" i="5"/>
  <c r="M481" i="5"/>
  <c r="N477" i="5"/>
  <c r="M477" i="5"/>
  <c r="N473" i="5"/>
  <c r="M473" i="5"/>
  <c r="N469" i="5"/>
  <c r="M469" i="5"/>
  <c r="N465" i="5"/>
  <c r="M465" i="5"/>
  <c r="N461" i="5"/>
  <c r="M461" i="5"/>
  <c r="N457" i="5"/>
  <c r="M457" i="5"/>
  <c r="N453" i="5"/>
  <c r="M453" i="5"/>
  <c r="N449" i="5"/>
  <c r="M449" i="5"/>
  <c r="N445" i="5"/>
  <c r="M445" i="5"/>
  <c r="N441" i="5"/>
  <c r="M441" i="5"/>
  <c r="N437" i="5"/>
  <c r="M437" i="5"/>
  <c r="N433" i="5"/>
  <c r="M433" i="5"/>
  <c r="N429" i="5"/>
  <c r="M429" i="5"/>
  <c r="N425" i="5"/>
  <c r="N421" i="5"/>
  <c r="M421" i="5"/>
  <c r="N417" i="5"/>
  <c r="M417" i="5"/>
  <c r="N413" i="5"/>
  <c r="M413" i="5"/>
  <c r="N409" i="5"/>
  <c r="M409" i="5"/>
  <c r="N405" i="5"/>
  <c r="M405" i="5"/>
  <c r="N401" i="5"/>
  <c r="M401" i="5"/>
  <c r="N397" i="5"/>
  <c r="M397" i="5"/>
  <c r="N393" i="5"/>
  <c r="M393" i="5"/>
  <c r="N389" i="5"/>
  <c r="M389" i="5"/>
  <c r="N385" i="5"/>
  <c r="M385" i="5"/>
  <c r="N381" i="5"/>
  <c r="M381" i="5"/>
  <c r="N377" i="5"/>
  <c r="M377" i="5"/>
  <c r="N373" i="5"/>
  <c r="M373" i="5"/>
  <c r="N369" i="5"/>
  <c r="M369" i="5"/>
  <c r="N365" i="5"/>
  <c r="M365" i="5"/>
  <c r="N361" i="5"/>
  <c r="M361" i="5"/>
  <c r="N357" i="5"/>
  <c r="M357" i="5"/>
  <c r="N353" i="5"/>
  <c r="M353" i="5"/>
  <c r="N349" i="5"/>
  <c r="M349" i="5"/>
  <c r="N345" i="5"/>
  <c r="N341" i="5"/>
  <c r="M341" i="5"/>
  <c r="N337" i="5"/>
  <c r="M337" i="5"/>
  <c r="N333" i="5"/>
  <c r="M333" i="5"/>
  <c r="N329" i="5"/>
  <c r="M329" i="5"/>
  <c r="N325" i="5"/>
  <c r="M325" i="5"/>
  <c r="N321" i="5"/>
  <c r="M321" i="5"/>
  <c r="N313" i="5"/>
  <c r="M309" i="5"/>
  <c r="N309" i="5"/>
  <c r="N305" i="5"/>
  <c r="M305" i="5"/>
  <c r="N301" i="5"/>
  <c r="M301" i="5"/>
  <c r="N260" i="5"/>
  <c r="M260" i="5"/>
  <c r="N256" i="5"/>
  <c r="M256" i="5"/>
  <c r="N248" i="5"/>
  <c r="M248" i="5"/>
  <c r="N244" i="5"/>
  <c r="M244" i="5"/>
  <c r="N184" i="5"/>
  <c r="M184" i="5"/>
  <c r="N180" i="5"/>
  <c r="M180" i="5"/>
  <c r="N176" i="5"/>
  <c r="M176" i="5"/>
  <c r="N168" i="5"/>
  <c r="M168" i="5"/>
  <c r="M670" i="5"/>
  <c r="M654" i="5"/>
  <c r="M638" i="5"/>
  <c r="M606" i="5"/>
  <c r="M590" i="5"/>
  <c r="M574" i="5"/>
  <c r="M558" i="5"/>
  <c r="M542" i="5"/>
  <c r="M526" i="5"/>
  <c r="M510" i="5"/>
  <c r="M478" i="5"/>
  <c r="M446" i="5"/>
  <c r="M430" i="5"/>
  <c r="M414" i="5"/>
  <c r="M398" i="5"/>
  <c r="M382" i="5"/>
  <c r="M366" i="5"/>
  <c r="M348" i="5"/>
  <c r="M327" i="5"/>
  <c r="M306" i="5"/>
  <c r="M284" i="5"/>
  <c r="M242" i="5"/>
  <c r="M220" i="5"/>
  <c r="M156" i="5"/>
  <c r="M45" i="5"/>
  <c r="N644" i="5"/>
  <c r="N464" i="5"/>
  <c r="N160" i="5"/>
  <c r="N183" i="5"/>
  <c r="N123" i="5"/>
  <c r="N115" i="5"/>
  <c r="M115" i="5"/>
  <c r="N111" i="5"/>
  <c r="M111" i="5"/>
  <c r="N107" i="5"/>
  <c r="M107" i="5"/>
  <c r="N103" i="5"/>
  <c r="M103" i="5"/>
  <c r="N99" i="5"/>
  <c r="M99" i="5"/>
  <c r="N95" i="5"/>
  <c r="M95" i="5"/>
  <c r="N91" i="5"/>
  <c r="N87" i="5"/>
  <c r="N83" i="5"/>
  <c r="M83" i="5"/>
  <c r="M267" i="5"/>
  <c r="M251" i="5"/>
  <c r="M235" i="5"/>
  <c r="M214" i="5"/>
  <c r="M203" i="5"/>
  <c r="M198" i="5"/>
  <c r="M182" i="5"/>
  <c r="M171" i="5"/>
  <c r="M155" i="5"/>
  <c r="M150" i="5"/>
  <c r="M137" i="5"/>
  <c r="M118" i="5"/>
  <c r="M106" i="5"/>
  <c r="N162" i="5"/>
  <c r="N122" i="5"/>
  <c r="N90" i="5"/>
  <c r="M271" i="5"/>
  <c r="M255" i="5"/>
  <c r="M239" i="5"/>
  <c r="M218" i="5"/>
  <c r="M207" i="5"/>
  <c r="M202" i="5"/>
  <c r="M191" i="5"/>
  <c r="M186" i="5"/>
  <c r="M175" i="5"/>
  <c r="M170" i="5"/>
  <c r="M159" i="5"/>
  <c r="M154" i="5"/>
  <c r="M143" i="5"/>
  <c r="M130" i="5"/>
  <c r="M102" i="5"/>
  <c r="M86" i="5"/>
  <c r="N297" i="5"/>
  <c r="M297" i="5"/>
  <c r="N293" i="5"/>
  <c r="M293" i="5"/>
  <c r="N289" i="5"/>
  <c r="M289" i="5"/>
  <c r="N285" i="5"/>
  <c r="M285" i="5"/>
  <c r="N281" i="5"/>
  <c r="N277" i="5"/>
  <c r="M277" i="5"/>
  <c r="N273" i="5"/>
  <c r="M273" i="5"/>
  <c r="N269" i="5"/>
  <c r="M269" i="5"/>
  <c r="N265" i="5"/>
  <c r="M265" i="5"/>
  <c r="N257" i="5"/>
  <c r="N253" i="5"/>
  <c r="M253" i="5"/>
  <c r="N249" i="5"/>
  <c r="M249" i="5"/>
  <c r="N237" i="5"/>
  <c r="N233" i="5"/>
  <c r="M233" i="5"/>
  <c r="N229" i="5"/>
  <c r="M229" i="5"/>
  <c r="N225" i="5"/>
  <c r="M225" i="5"/>
  <c r="N221" i="5"/>
  <c r="M221" i="5"/>
  <c r="N217" i="5"/>
  <c r="M217" i="5"/>
  <c r="N213" i="5"/>
  <c r="M213" i="5"/>
  <c r="N209" i="5"/>
  <c r="M209" i="5"/>
  <c r="N201" i="5"/>
  <c r="N197" i="5"/>
  <c r="M197" i="5"/>
  <c r="N193" i="5"/>
  <c r="M193" i="5"/>
  <c r="N189" i="5"/>
  <c r="M189" i="5"/>
  <c r="N185" i="5"/>
  <c r="M185" i="5"/>
  <c r="N177" i="5"/>
  <c r="M177" i="5"/>
  <c r="N173" i="5"/>
  <c r="M173" i="5"/>
  <c r="N169" i="5"/>
  <c r="M169" i="5"/>
  <c r="N165" i="5"/>
  <c r="M165" i="5"/>
  <c r="N161" i="5"/>
  <c r="N157" i="5"/>
  <c r="M157" i="5"/>
  <c r="N153" i="5"/>
  <c r="M153" i="5"/>
  <c r="N149" i="5"/>
  <c r="M149" i="5"/>
  <c r="N145" i="5"/>
  <c r="M145" i="5"/>
  <c r="N140" i="5"/>
  <c r="M140" i="5"/>
  <c r="N136" i="5"/>
  <c r="M136" i="5"/>
  <c r="N132" i="5"/>
  <c r="M132" i="5"/>
  <c r="N128" i="5"/>
  <c r="M128" i="5"/>
  <c r="N121" i="5"/>
  <c r="N117" i="5"/>
  <c r="M117" i="5"/>
  <c r="N113" i="5"/>
  <c r="M113" i="5"/>
  <c r="N109" i="5"/>
  <c r="M109" i="5"/>
  <c r="N105" i="5"/>
  <c r="M105" i="5"/>
  <c r="N101" i="5"/>
  <c r="M101" i="5"/>
  <c r="N93" i="5"/>
  <c r="M93" i="5"/>
  <c r="N89" i="5"/>
  <c r="N85" i="5"/>
  <c r="M85" i="5"/>
  <c r="M275" i="5"/>
  <c r="M259" i="5"/>
  <c r="M243" i="5"/>
  <c r="M227" i="5"/>
  <c r="M222" i="5"/>
  <c r="M211" i="5"/>
  <c r="M206" i="5"/>
  <c r="M195" i="5"/>
  <c r="M190" i="5"/>
  <c r="M179" i="5"/>
  <c r="M174" i="5"/>
  <c r="M163" i="5"/>
  <c r="M158" i="5"/>
  <c r="M147" i="5"/>
  <c r="M142" i="5"/>
  <c r="M134" i="5"/>
  <c r="M129" i="5"/>
  <c r="M114" i="5"/>
  <c r="M98" i="5"/>
  <c r="N181" i="5"/>
  <c r="H10" i="3"/>
  <c r="H9" i="3"/>
  <c r="C8" i="7"/>
  <c r="C9" i="7"/>
  <c r="C10" i="7"/>
  <c r="C11" i="7"/>
  <c r="C12" i="7"/>
  <c r="C7" i="7"/>
  <c r="C6" i="7"/>
  <c r="C5" i="7"/>
  <c r="F88" i="6"/>
  <c r="F87" i="6"/>
  <c r="F85" i="6"/>
  <c r="F84" i="6"/>
  <c r="F83" i="6"/>
  <c r="F82" i="6"/>
  <c r="F81" i="6"/>
  <c r="F80" i="6"/>
  <c r="F79" i="6"/>
  <c r="F78"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6" i="6"/>
  <c r="F45" i="6"/>
  <c r="F44" i="6"/>
  <c r="F43" i="6"/>
  <c r="F42" i="6"/>
  <c r="F41" i="6"/>
  <c r="F40" i="6"/>
  <c r="F39" i="6"/>
  <c r="F37" i="6"/>
  <c r="F36" i="6"/>
  <c r="F35" i="6"/>
  <c r="F34" i="6"/>
  <c r="F33" i="6"/>
  <c r="F32" i="6"/>
  <c r="F31" i="6"/>
  <c r="F30" i="6"/>
  <c r="F29" i="6"/>
  <c r="F28" i="6"/>
  <c r="F27" i="6"/>
  <c r="F26" i="6"/>
  <c r="F25" i="6"/>
  <c r="F24" i="6"/>
  <c r="F23" i="6"/>
  <c r="F22" i="6"/>
  <c r="F21" i="6"/>
  <c r="F20" i="6"/>
  <c r="F19" i="6"/>
  <c r="F18" i="6"/>
  <c r="F17" i="6"/>
  <c r="F16" i="6"/>
  <c r="F15" i="6"/>
  <c r="F14" i="6"/>
  <c r="F13" i="6"/>
  <c r="F12" i="6"/>
  <c r="F11" i="6"/>
  <c r="F10" i="6"/>
  <c r="F8" i="6"/>
  <c r="F7" i="6"/>
  <c r="F6" i="6"/>
  <c r="F5" i="6"/>
  <c r="F4" i="6"/>
  <c r="F3" i="6"/>
  <c r="E70" i="6"/>
  <c r="E88" i="6"/>
  <c r="E87" i="6"/>
  <c r="E86" i="6"/>
  <c r="E85" i="6"/>
  <c r="E84" i="6"/>
  <c r="E83" i="6"/>
  <c r="E82" i="6"/>
  <c r="E81" i="6"/>
  <c r="E80" i="6"/>
  <c r="E79" i="6"/>
  <c r="E78" i="6"/>
  <c r="E77" i="6"/>
  <c r="E76" i="6"/>
  <c r="E75" i="6"/>
  <c r="E74" i="6"/>
  <c r="E73" i="6"/>
  <c r="E72" i="6"/>
  <c r="E71" i="6"/>
  <c r="E69" i="6"/>
  <c r="E68" i="6"/>
  <c r="E67" i="6"/>
  <c r="E66" i="6"/>
  <c r="E65" i="6"/>
  <c r="E64" i="6"/>
  <c r="E63" i="6"/>
  <c r="E62" i="6"/>
  <c r="E61" i="6"/>
  <c r="E60" i="6"/>
  <c r="E59" i="6"/>
  <c r="E58" i="6"/>
  <c r="E27" i="6"/>
  <c r="E23" i="6"/>
  <c r="E18" i="6"/>
  <c r="E11" i="6"/>
  <c r="E31" i="6"/>
  <c r="E57" i="6"/>
  <c r="E56" i="6"/>
  <c r="E55" i="6"/>
  <c r="E54" i="6"/>
  <c r="E53" i="6"/>
  <c r="E52" i="6"/>
  <c r="E51" i="6"/>
  <c r="E50" i="6"/>
  <c r="E49" i="6"/>
  <c r="E48" i="6"/>
  <c r="E47" i="6"/>
  <c r="E46" i="6"/>
  <c r="E45" i="6"/>
  <c r="E44" i="6"/>
  <c r="E43" i="6"/>
  <c r="E42" i="6"/>
  <c r="E41" i="6"/>
  <c r="E40" i="6"/>
  <c r="E39" i="6"/>
  <c r="E38" i="6"/>
  <c r="E37" i="6"/>
  <c r="E36" i="6"/>
  <c r="E35" i="6"/>
  <c r="E34" i="6"/>
  <c r="E33" i="6"/>
  <c r="E32" i="6"/>
  <c r="E30" i="6"/>
  <c r="E29" i="6"/>
  <c r="E28" i="6"/>
  <c r="E26" i="6"/>
  <c r="E25" i="6"/>
  <c r="E24" i="6"/>
  <c r="E22" i="6"/>
  <c r="E21" i="6"/>
  <c r="E20" i="6"/>
  <c r="E19" i="6"/>
  <c r="E17" i="6"/>
  <c r="E16" i="6"/>
  <c r="E15" i="6"/>
  <c r="E14" i="6"/>
  <c r="E13" i="6"/>
  <c r="E12" i="6"/>
  <c r="E10" i="6"/>
  <c r="E9" i="6"/>
  <c r="E8" i="6"/>
  <c r="E7" i="6"/>
  <c r="E6" i="6"/>
  <c r="E5" i="6"/>
  <c r="E4" i="6"/>
  <c r="E3" i="6"/>
  <c r="C66" i="6" a="1"/>
  <c r="C66" i="6" s="1"/>
  <c r="C62" i="6" a="1"/>
  <c r="C63" i="6" s="1"/>
  <c r="C58" i="6" a="1"/>
  <c r="C58" i="6" s="1"/>
  <c r="C53" i="6" a="1"/>
  <c r="C53" i="6" s="1"/>
  <c r="C44" i="6" a="1"/>
  <c r="C45" i="6" s="1"/>
  <c r="C28" i="6" a="1"/>
  <c r="C29" i="6" s="1"/>
  <c r="C20" i="6" a="1"/>
  <c r="C21" i="6" s="1"/>
  <c r="C15" i="6" a="1"/>
  <c r="C15" i="6" s="1"/>
  <c r="C80" i="6" a="1"/>
  <c r="C81" i="6" s="1"/>
  <c r="C41" i="6" a="1"/>
  <c r="C42" i="6" s="1"/>
  <c r="C24" i="6" a="1"/>
  <c r="C27" i="6" s="1"/>
  <c r="C11" i="6" a="1"/>
  <c r="C14" i="6" s="1"/>
  <c r="C3" i="6" a="1"/>
  <c r="C6" i="6" s="1"/>
  <c r="C87" i="6" a="1"/>
  <c r="C87" i="6" s="1"/>
  <c r="C86" i="6"/>
  <c r="C83" i="6" a="1"/>
  <c r="C84" i="6" s="1"/>
  <c r="C71" i="6" a="1"/>
  <c r="C74" i="6" s="1"/>
  <c r="C70" i="6"/>
  <c r="C57" i="6"/>
  <c r="C56" i="6"/>
  <c r="C52" i="6"/>
  <c r="C85" i="6"/>
  <c r="C49" i="6" a="1"/>
  <c r="C51" i="6" s="1"/>
  <c r="C32" i="6" a="1"/>
  <c r="C35" i="6" s="1"/>
  <c r="C19" i="6"/>
  <c r="B482" i="5"/>
  <c r="C69" i="6" l="1"/>
  <c r="C68" i="6"/>
  <c r="C67" i="6"/>
  <c r="C64" i="6"/>
  <c r="C62" i="6"/>
  <c r="C65" i="6"/>
  <c r="C28" i="6"/>
  <c r="C61" i="6"/>
  <c r="C59" i="6"/>
  <c r="C60" i="6"/>
  <c r="C55" i="6"/>
  <c r="C54" i="6"/>
  <c r="C44" i="6"/>
  <c r="C48" i="6"/>
  <c r="C47" i="6"/>
  <c r="C46" i="6"/>
  <c r="C31" i="6"/>
  <c r="C30" i="6"/>
  <c r="C20" i="6"/>
  <c r="C23" i="6"/>
  <c r="C22" i="6"/>
  <c r="C16" i="6"/>
  <c r="C18" i="6"/>
  <c r="C17" i="6"/>
  <c r="C25" i="6"/>
  <c r="C80" i="6"/>
  <c r="C82" i="6"/>
  <c r="C41" i="6"/>
  <c r="C43" i="6"/>
  <c r="C24" i="6"/>
  <c r="C26" i="6"/>
  <c r="C13" i="6"/>
  <c r="C12" i="6"/>
  <c r="C11" i="6"/>
  <c r="C9" i="6"/>
  <c r="C5" i="6"/>
  <c r="C8" i="6"/>
  <c r="C4" i="6"/>
  <c r="C7" i="6"/>
  <c r="C3" i="6"/>
  <c r="C10" i="6"/>
  <c r="C88" i="6"/>
  <c r="C83" i="6"/>
  <c r="C71" i="6"/>
  <c r="C77" i="6"/>
  <c r="C73" i="6"/>
  <c r="C76" i="6"/>
  <c r="C72" i="6"/>
  <c r="C79" i="6"/>
  <c r="C75" i="6"/>
  <c r="C78" i="6"/>
  <c r="C50" i="6"/>
  <c r="C49" i="6"/>
  <c r="C32" i="6"/>
  <c r="C38" i="6"/>
  <c r="C34" i="6"/>
  <c r="C37" i="6"/>
  <c r="C33" i="6"/>
  <c r="C40" i="6"/>
  <c r="C36" i="6"/>
  <c r="C39" i="6"/>
  <c r="B176" i="5"/>
  <c r="A37" i="3"/>
  <c r="A36" i="3"/>
  <c r="A35" i="3"/>
  <c r="A34" i="3"/>
  <c r="A128" i="4"/>
  <c r="A127" i="4"/>
  <c r="A126" i="4"/>
  <c r="A125" i="4"/>
  <c r="A33" i="3"/>
  <c r="H8" i="3" l="1"/>
  <c r="A96" i="4"/>
  <c r="A36" i="4"/>
  <c r="A26" i="4"/>
  <c r="A4" i="4"/>
  <c r="A68" i="4"/>
  <c r="A35" i="4"/>
  <c r="A7" i="4"/>
  <c r="A138" i="4"/>
  <c r="A33" i="4"/>
  <c r="A98" i="4"/>
  <c r="A22" i="3"/>
  <c r="A31" i="3" l="1"/>
  <c r="A112" i="4"/>
  <c r="A121" i="4"/>
  <c r="A119" i="4"/>
  <c r="A109" i="4"/>
  <c r="A101" i="4"/>
  <c r="A132" i="4"/>
  <c r="A120" i="4"/>
  <c r="A117" i="4"/>
  <c r="A110" i="4"/>
  <c r="A85" i="4"/>
  <c r="A83" i="4"/>
  <c r="A129" i="4"/>
  <c r="A116" i="4"/>
  <c r="A25" i="4"/>
  <c r="A122" i="4"/>
  <c r="A31" i="4"/>
  <c r="A62" i="4"/>
  <c r="A57" i="4"/>
  <c r="A58" i="4"/>
  <c r="A103" i="4"/>
  <c r="A115" i="4"/>
  <c r="A114" i="4"/>
  <c r="A61" i="4"/>
  <c r="A60" i="4"/>
  <c r="A86" i="4"/>
  <c r="A75" i="4"/>
  <c r="A3" i="4"/>
  <c r="A74" i="4"/>
  <c r="A102" i="4"/>
  <c r="A105" i="4"/>
  <c r="A111" i="4"/>
  <c r="A131" i="4"/>
  <c r="A104" i="4"/>
  <c r="A100" i="4"/>
  <c r="A130" i="4"/>
  <c r="A135" i="4"/>
  <c r="A6" i="4"/>
  <c r="A73" i="4"/>
  <c r="A24" i="4"/>
  <c r="A84" i="4"/>
  <c r="A27" i="4"/>
  <c r="A34" i="4"/>
  <c r="A28" i="4"/>
  <c r="A65" i="4"/>
  <c r="A66" i="4"/>
  <c r="H5" i="3"/>
  <c r="A64" i="4"/>
  <c r="A32" i="4"/>
  <c r="A63" i="4"/>
  <c r="A30" i="3"/>
  <c r="A19" i="3"/>
  <c r="A27" i="3"/>
  <c r="A26" i="3"/>
  <c r="A13" i="3"/>
  <c r="A25" i="3"/>
  <c r="A24" i="3"/>
  <c r="A9" i="3"/>
  <c r="D107" i="4" s="1"/>
  <c r="A20" i="3"/>
  <c r="A18" i="3"/>
  <c r="A17" i="3"/>
  <c r="D196" i="4" l="1"/>
  <c r="D195" i="4"/>
  <c r="D194" i="4"/>
  <c r="D193" i="4"/>
  <c r="D192" i="4"/>
  <c r="F192" i="4" s="1"/>
  <c r="D176" i="4"/>
  <c r="F176" i="4" s="1"/>
  <c r="D160" i="4"/>
  <c r="F160" i="4" s="1"/>
  <c r="D144" i="4"/>
  <c r="F144" i="4" s="1"/>
  <c r="D82" i="4"/>
  <c r="F82" i="4" s="1"/>
  <c r="D13" i="4"/>
  <c r="F13" i="4" s="1"/>
  <c r="D141" i="4"/>
  <c r="F141" i="4" s="1"/>
  <c r="D132" i="4"/>
  <c r="F132" i="4" s="1"/>
  <c r="D114" i="4"/>
  <c r="D86" i="4"/>
  <c r="F86" i="4" s="1"/>
  <c r="D17" i="4"/>
  <c r="F17" i="4" s="1"/>
  <c r="D73" i="4"/>
  <c r="F73" i="4" s="1"/>
  <c r="D75" i="4"/>
  <c r="D183" i="4"/>
  <c r="F183" i="4" s="1"/>
  <c r="D167" i="4"/>
  <c r="F167" i="4" s="1"/>
  <c r="D147" i="4"/>
  <c r="F147" i="4" s="1"/>
  <c r="D185" i="4"/>
  <c r="F185" i="4" s="1"/>
  <c r="D169" i="4"/>
  <c r="F169" i="4" s="1"/>
  <c r="D153" i="4"/>
  <c r="F153" i="4" s="1"/>
  <c r="D124" i="4"/>
  <c r="F124" i="4" s="1"/>
  <c r="D54" i="4"/>
  <c r="F54" i="4" s="1"/>
  <c r="D92" i="4"/>
  <c r="F92" i="4" s="1"/>
  <c r="D139" i="4"/>
  <c r="F139" i="4" s="1"/>
  <c r="D125" i="4"/>
  <c r="F125" i="4" s="1"/>
  <c r="D100" i="4"/>
  <c r="F100" i="4" s="1"/>
  <c r="D29" i="4"/>
  <c r="F29" i="4" s="1"/>
  <c r="D28" i="4"/>
  <c r="F28" i="4" s="1"/>
  <c r="D24" i="4"/>
  <c r="F24" i="4" s="1"/>
  <c r="D151" i="4"/>
  <c r="F151" i="4" s="1"/>
  <c r="D113" i="4"/>
  <c r="F113" i="4" s="1"/>
  <c r="D46" i="4"/>
  <c r="F46" i="4" s="1"/>
  <c r="D116" i="4"/>
  <c r="F116" i="4" s="1"/>
  <c r="D43" i="4"/>
  <c r="F43" i="4" s="1"/>
  <c r="D61" i="4"/>
  <c r="F61" i="4" s="1"/>
  <c r="D158" i="4"/>
  <c r="F158" i="4" s="1"/>
  <c r="D56" i="4"/>
  <c r="F56" i="4" s="1"/>
  <c r="D31" i="4"/>
  <c r="F31" i="4" s="1"/>
  <c r="D186" i="4"/>
  <c r="F186" i="4" s="1"/>
  <c r="D88" i="4"/>
  <c r="F88" i="4" s="1"/>
  <c r="D121" i="4"/>
  <c r="F121" i="4" s="1"/>
  <c r="D22" i="4"/>
  <c r="F22" i="4" s="1"/>
  <c r="D59" i="4"/>
  <c r="F59" i="4" s="1"/>
  <c r="D52" i="4"/>
  <c r="F52" i="4" s="1"/>
  <c r="D93" i="4"/>
  <c r="F93" i="4" s="1"/>
  <c r="D126" i="4"/>
  <c r="F126" i="4" s="1"/>
  <c r="D65" i="4"/>
  <c r="F65" i="4" s="1"/>
  <c r="D25" i="4"/>
  <c r="F25" i="4" s="1"/>
  <c r="D27" i="4"/>
  <c r="F27" i="4" s="1"/>
  <c r="D188" i="4"/>
  <c r="F188" i="4" s="1"/>
  <c r="D172" i="4"/>
  <c r="F172" i="4" s="1"/>
  <c r="D156" i="4"/>
  <c r="F156" i="4" s="1"/>
  <c r="D49" i="4"/>
  <c r="F49" i="4" s="1"/>
  <c r="D184" i="4"/>
  <c r="F184" i="4" s="1"/>
  <c r="D168" i="4"/>
  <c r="F168" i="4" s="1"/>
  <c r="D152" i="4"/>
  <c r="F152" i="4" s="1"/>
  <c r="D90" i="4"/>
  <c r="F90" i="4" s="1"/>
  <c r="D55" i="4"/>
  <c r="F55" i="4" s="1"/>
  <c r="D137" i="4"/>
  <c r="F137" i="4" s="1"/>
  <c r="D40" i="4"/>
  <c r="F40" i="4" s="1"/>
  <c r="D119" i="4"/>
  <c r="F119" i="4" s="1"/>
  <c r="D111" i="4"/>
  <c r="F111" i="4" s="1"/>
  <c r="D83" i="4"/>
  <c r="F83" i="4" s="1"/>
  <c r="D78" i="4"/>
  <c r="F78" i="4" s="1"/>
  <c r="D62" i="4"/>
  <c r="F62" i="4" s="1"/>
  <c r="D191" i="4"/>
  <c r="F191" i="4" s="1"/>
  <c r="D175" i="4"/>
  <c r="F175" i="4" s="1"/>
  <c r="D159" i="4"/>
  <c r="F159" i="4" s="1"/>
  <c r="D177" i="4"/>
  <c r="F177" i="4" s="1"/>
  <c r="D161" i="4"/>
  <c r="F161" i="4" s="1"/>
  <c r="D145" i="4"/>
  <c r="F145" i="4" s="1"/>
  <c r="F107" i="4"/>
  <c r="D8" i="4"/>
  <c r="F8" i="4" s="1"/>
  <c r="D79" i="4"/>
  <c r="F79" i="4" s="1"/>
  <c r="D133" i="4"/>
  <c r="F133" i="4" s="1"/>
  <c r="D115" i="4"/>
  <c r="F115" i="4" s="1"/>
  <c r="D87" i="4"/>
  <c r="F87" i="4" s="1"/>
  <c r="D37" i="4"/>
  <c r="F37" i="4" s="1"/>
  <c r="D135" i="4"/>
  <c r="F135" i="4" s="1"/>
  <c r="D58" i="4"/>
  <c r="F58" i="4" s="1"/>
  <c r="D162" i="4"/>
  <c r="F162" i="4" s="1"/>
  <c r="D110" i="4"/>
  <c r="F110" i="4" s="1"/>
  <c r="D72" i="4"/>
  <c r="F72" i="4" s="1"/>
  <c r="D190" i="4"/>
  <c r="F190" i="4" s="1"/>
  <c r="D136" i="4"/>
  <c r="F136" i="4" s="1"/>
  <c r="D57" i="4"/>
  <c r="F57" i="4" s="1"/>
  <c r="D70" i="4"/>
  <c r="F70" i="4" s="1"/>
  <c r="D154" i="4"/>
  <c r="F154" i="4" s="1"/>
  <c r="D10" i="4"/>
  <c r="F10" i="4" s="1"/>
  <c r="D98" i="4"/>
  <c r="F98" i="4" s="1"/>
  <c r="D26" i="4"/>
  <c r="F26" i="4" s="1"/>
  <c r="D166" i="4"/>
  <c r="F166" i="4" s="1"/>
  <c r="D11" i="4"/>
  <c r="F11" i="4" s="1"/>
  <c r="D71" i="4"/>
  <c r="F71" i="4" s="1"/>
  <c r="D103" i="4"/>
  <c r="F103" i="4" s="1"/>
  <c r="D32" i="4"/>
  <c r="F32" i="4" s="1"/>
  <c r="D109" i="4"/>
  <c r="F109" i="4" s="1"/>
  <c r="D180" i="4"/>
  <c r="F180" i="4" s="1"/>
  <c r="D164" i="4"/>
  <c r="F164" i="4" s="1"/>
  <c r="D148" i="4"/>
  <c r="F148" i="4" s="1"/>
  <c r="D45" i="4"/>
  <c r="F45" i="4" s="1"/>
  <c r="D117" i="4"/>
  <c r="F117" i="4" s="1"/>
  <c r="D96" i="4"/>
  <c r="F96" i="4" s="1"/>
  <c r="D39" i="4"/>
  <c r="F39" i="4" s="1"/>
  <c r="D68" i="4"/>
  <c r="F68" i="4" s="1"/>
  <c r="D60" i="4"/>
  <c r="F60" i="4" s="1"/>
  <c r="D187" i="4"/>
  <c r="F187" i="4" s="1"/>
  <c r="D171" i="4"/>
  <c r="F171" i="4" s="1"/>
  <c r="D155" i="4"/>
  <c r="F155" i="4" s="1"/>
  <c r="D189" i="4"/>
  <c r="F189" i="4" s="1"/>
  <c r="D173" i="4"/>
  <c r="F173" i="4" s="1"/>
  <c r="D157" i="4"/>
  <c r="F157" i="4" s="1"/>
  <c r="D51" i="4"/>
  <c r="F51" i="4" s="1"/>
  <c r="D12" i="4"/>
  <c r="F12" i="4" s="1"/>
  <c r="D118" i="4"/>
  <c r="F118" i="4" s="1"/>
  <c r="D99" i="4"/>
  <c r="F99" i="4" s="1"/>
  <c r="D129" i="4"/>
  <c r="F129" i="4" s="1"/>
  <c r="D105" i="4"/>
  <c r="F105" i="4" s="1"/>
  <c r="D85" i="4"/>
  <c r="F85" i="4" s="1"/>
  <c r="D35" i="4"/>
  <c r="F35" i="4" s="1"/>
  <c r="D66" i="4"/>
  <c r="F66" i="4" s="1"/>
  <c r="D3" i="4"/>
  <c r="D146" i="4"/>
  <c r="F146" i="4" s="1"/>
  <c r="D95" i="4"/>
  <c r="F95" i="4" s="1"/>
  <c r="D131" i="4"/>
  <c r="F131" i="4" s="1"/>
  <c r="D77" i="4"/>
  <c r="F77" i="4" s="1"/>
  <c r="D76" i="4"/>
  <c r="F76" i="4" s="1"/>
  <c r="D174" i="4"/>
  <c r="F174" i="4" s="1"/>
  <c r="D89" i="4"/>
  <c r="F89" i="4" s="1"/>
  <c r="D102" i="4"/>
  <c r="F102" i="4" s="1"/>
  <c r="D7" i="4"/>
  <c r="F7" i="4" s="1"/>
  <c r="D53" i="4"/>
  <c r="F53" i="4" s="1"/>
  <c r="D94" i="4"/>
  <c r="F94" i="4" s="1"/>
  <c r="D48" i="4"/>
  <c r="F48" i="4" s="1"/>
  <c r="D128" i="4"/>
  <c r="F128" i="4" s="1"/>
  <c r="D64" i="4"/>
  <c r="F64" i="4" s="1"/>
  <c r="D143" i="4"/>
  <c r="F143" i="4" s="1"/>
  <c r="D122" i="4"/>
  <c r="F122" i="4" s="1"/>
  <c r="D6" i="4"/>
  <c r="F6" i="4" s="1"/>
  <c r="D142" i="4"/>
  <c r="F142" i="4" s="1"/>
  <c r="D130" i="4"/>
  <c r="F130" i="4" s="1"/>
  <c r="D41" i="4"/>
  <c r="F41" i="4" s="1"/>
  <c r="D30" i="4"/>
  <c r="F30" i="4" s="1"/>
  <c r="D150" i="4"/>
  <c r="F150" i="4" s="1"/>
  <c r="D134" i="4"/>
  <c r="F134" i="4" s="1"/>
  <c r="D67" i="4"/>
  <c r="F67" i="4" s="1"/>
  <c r="D123" i="4"/>
  <c r="F123" i="4" s="1"/>
  <c r="D33" i="4"/>
  <c r="F33" i="4" s="1"/>
  <c r="D5" i="4"/>
  <c r="F5" i="4" s="1"/>
  <c r="D42" i="4"/>
  <c r="F42" i="4" s="1"/>
  <c r="D106" i="4"/>
  <c r="F106" i="4" s="1"/>
  <c r="D170" i="4"/>
  <c r="F170" i="4" s="1"/>
  <c r="D127" i="4"/>
  <c r="F127" i="4" s="1"/>
  <c r="D9" i="4"/>
  <c r="F9" i="4" s="1"/>
  <c r="D44" i="4"/>
  <c r="F44" i="4" s="1"/>
  <c r="D138" i="4"/>
  <c r="F138" i="4" s="1"/>
  <c r="D163" i="4"/>
  <c r="F163" i="4" s="1"/>
  <c r="D149" i="4"/>
  <c r="F149" i="4" s="1"/>
  <c r="D69" i="4"/>
  <c r="F69" i="4" s="1"/>
  <c r="D140" i="4"/>
  <c r="F140" i="4" s="1"/>
  <c r="D74" i="4"/>
  <c r="F74" i="4" s="1"/>
  <c r="D47" i="4"/>
  <c r="F47" i="4" s="1"/>
  <c r="D104" i="4"/>
  <c r="F104" i="4" s="1"/>
  <c r="D182" i="4"/>
  <c r="F182" i="4" s="1"/>
  <c r="D80" i="4"/>
  <c r="F80" i="4" s="1"/>
  <c r="D38" i="4"/>
  <c r="F38" i="4" s="1"/>
  <c r="D4" i="4"/>
  <c r="F4" i="4" s="1"/>
  <c r="D101" i="4"/>
  <c r="F101" i="4" s="1"/>
  <c r="D181" i="4"/>
  <c r="F181" i="4" s="1"/>
  <c r="D97" i="4"/>
  <c r="F97" i="4" s="1"/>
  <c r="D178" i="4"/>
  <c r="F178" i="4" s="1"/>
  <c r="D120" i="4"/>
  <c r="F120" i="4" s="1"/>
  <c r="D81" i="4"/>
  <c r="F81" i="4" s="1"/>
  <c r="D91" i="4"/>
  <c r="F91" i="4" s="1"/>
  <c r="D108" i="4"/>
  <c r="F108" i="4" s="1"/>
  <c r="D112" i="4"/>
  <c r="F112" i="4" s="1"/>
  <c r="D84" i="4"/>
  <c r="F84" i="4" s="1"/>
  <c r="D179" i="4"/>
  <c r="F179" i="4" s="1"/>
  <c r="D165" i="4"/>
  <c r="F165" i="4" s="1"/>
  <c r="D50" i="4"/>
  <c r="F50" i="4" s="1"/>
  <c r="D18" i="4"/>
  <c r="F18" i="4" s="1"/>
  <c r="D36" i="4"/>
  <c r="F36" i="4" s="1"/>
  <c r="D63" i="4"/>
  <c r="F63" i="4" s="1"/>
  <c r="D34" i="4"/>
  <c r="F34" i="4" s="1"/>
  <c r="H2" i="3"/>
  <c r="H4" i="3"/>
  <c r="H7" i="3"/>
  <c r="H3" i="3"/>
  <c r="H6" i="3"/>
  <c r="E179" i="4" l="1"/>
  <c r="E187" i="4"/>
  <c r="E185" i="4"/>
  <c r="E147" i="4"/>
  <c r="E193" i="4"/>
  <c r="A193" i="4" s="1"/>
  <c r="L193" i="4" s="1"/>
  <c r="F193" i="4"/>
  <c r="F194" i="4"/>
  <c r="E194" i="4"/>
  <c r="A194" i="4" s="1"/>
  <c r="L194" i="4" s="1"/>
  <c r="F195" i="4"/>
  <c r="E195" i="4"/>
  <c r="A195" i="4" s="1"/>
  <c r="L195" i="4" s="1"/>
  <c r="E196" i="4"/>
  <c r="A196" i="4" s="1"/>
  <c r="L196" i="4" s="1"/>
  <c r="F196" i="4"/>
  <c r="E150" i="4"/>
  <c r="A150" i="4" s="1"/>
  <c r="L150" i="4" s="1"/>
  <c r="P42" i="4"/>
  <c r="P41" i="4"/>
  <c r="P37" i="4"/>
  <c r="P33" i="4"/>
  <c r="P29" i="4"/>
  <c r="P21" i="4"/>
  <c r="P13" i="4"/>
  <c r="P5" i="4"/>
  <c r="P23" i="4"/>
  <c r="E89" i="4" s="1"/>
  <c r="A89" i="4" s="1"/>
  <c r="P11" i="4"/>
  <c r="P40" i="4"/>
  <c r="P36" i="4"/>
  <c r="P32" i="4"/>
  <c r="P28" i="4"/>
  <c r="P24" i="4"/>
  <c r="P20" i="4"/>
  <c r="P16" i="4"/>
  <c r="P12" i="4"/>
  <c r="E49" i="4" s="1"/>
  <c r="A49" i="4" s="1"/>
  <c r="P8" i="4"/>
  <c r="P4" i="4"/>
  <c r="E8" i="4" s="1"/>
  <c r="A8" i="4" s="1"/>
  <c r="P39" i="4"/>
  <c r="P35" i="4"/>
  <c r="P31" i="4"/>
  <c r="P19" i="4"/>
  <c r="P7" i="4"/>
  <c r="P38" i="4"/>
  <c r="P34" i="4"/>
  <c r="P30" i="4"/>
  <c r="E107" i="4" s="1"/>
  <c r="A107" i="4" s="1"/>
  <c r="P26" i="4"/>
  <c r="P22" i="4"/>
  <c r="E81" i="4" s="1"/>
  <c r="A81" i="4" s="1"/>
  <c r="P18" i="4"/>
  <c r="P14" i="4"/>
  <c r="P10" i="4"/>
  <c r="P6" i="4"/>
  <c r="P25" i="4"/>
  <c r="P17" i="4"/>
  <c r="P9" i="4"/>
  <c r="P27" i="4"/>
  <c r="E82" i="4" s="1"/>
  <c r="A82" i="4" s="1"/>
  <c r="P15" i="4"/>
  <c r="H15" i="3"/>
  <c r="F114" i="4"/>
  <c r="E170" i="4"/>
  <c r="A170" i="4" s="1"/>
  <c r="L170" i="4" s="1"/>
  <c r="E180" i="4"/>
  <c r="A180" i="4" s="1"/>
  <c r="L180" i="4" s="1"/>
  <c r="E151" i="4"/>
  <c r="A151" i="4" s="1"/>
  <c r="L151" i="4" s="1"/>
  <c r="E174" i="4"/>
  <c r="A174" i="4" s="1"/>
  <c r="L174" i="4" s="1"/>
  <c r="E192" i="4"/>
  <c r="A192" i="4" s="1"/>
  <c r="L192" i="4" s="1"/>
  <c r="E157" i="4"/>
  <c r="A157" i="4" s="1"/>
  <c r="L157" i="4" s="1"/>
  <c r="E171" i="4"/>
  <c r="A171" i="4" s="1"/>
  <c r="L171" i="4" s="1"/>
  <c r="E173" i="4"/>
  <c r="A173" i="4" s="1"/>
  <c r="L173" i="4" s="1"/>
  <c r="E146" i="4"/>
  <c r="A146" i="4" s="1"/>
  <c r="L146" i="4" s="1"/>
  <c r="E178" i="4"/>
  <c r="A178" i="4" s="1"/>
  <c r="L178" i="4" s="1"/>
  <c r="A51" i="4"/>
  <c r="E188" i="4"/>
  <c r="A188" i="4" s="1"/>
  <c r="L188" i="4" s="1"/>
  <c r="E190" i="4"/>
  <c r="A190" i="4" s="1"/>
  <c r="L190" i="4" s="1"/>
  <c r="E156" i="4"/>
  <c r="A156" i="4" s="1"/>
  <c r="L156" i="4" s="1"/>
  <c r="A118" i="4"/>
  <c r="E164" i="4"/>
  <c r="A164" i="4" s="1"/>
  <c r="L164" i="4" s="1"/>
  <c r="E165" i="4"/>
  <c r="A165" i="4" s="1"/>
  <c r="L165" i="4" s="1"/>
  <c r="E163" i="4"/>
  <c r="A163" i="4" s="1"/>
  <c r="L163" i="4" s="1"/>
  <c r="E153" i="4"/>
  <c r="A153" i="4" s="1"/>
  <c r="L153" i="4" s="1"/>
  <c r="E181" i="4"/>
  <c r="A181" i="4" s="1"/>
  <c r="L181" i="4" s="1"/>
  <c r="E158" i="4"/>
  <c r="A158" i="4" s="1"/>
  <c r="L158" i="4" s="1"/>
  <c r="E175" i="4"/>
  <c r="A175" i="4" s="1"/>
  <c r="L175" i="4" s="1"/>
  <c r="E160" i="4"/>
  <c r="A160" i="4" s="1"/>
  <c r="L160" i="4" s="1"/>
  <c r="E162" i="4"/>
  <c r="A162" i="4" s="1"/>
  <c r="L162" i="4" s="1"/>
  <c r="E186" i="4"/>
  <c r="A186" i="4" s="1"/>
  <c r="L186" i="4" s="1"/>
  <c r="E155" i="4"/>
  <c r="A155" i="4" s="1"/>
  <c r="L155" i="4" s="1"/>
  <c r="E172" i="4"/>
  <c r="A172" i="4" s="1"/>
  <c r="L172" i="4" s="1"/>
  <c r="E154" i="4"/>
  <c r="A154" i="4" s="1"/>
  <c r="L154" i="4" s="1"/>
  <c r="E161" i="4"/>
  <c r="A161" i="4" s="1"/>
  <c r="L161" i="4" s="1"/>
  <c r="E148" i="4"/>
  <c r="A148" i="4" s="1"/>
  <c r="L148" i="4" s="1"/>
  <c r="E168" i="4"/>
  <c r="A168" i="4" s="1"/>
  <c r="L168" i="4" s="1"/>
  <c r="E149" i="4"/>
  <c r="A149" i="4" s="1"/>
  <c r="L149" i="4" s="1"/>
  <c r="E189" i="4"/>
  <c r="A189" i="4" s="1"/>
  <c r="L189" i="4" s="1"/>
  <c r="E166" i="4"/>
  <c r="A166" i="4" s="1"/>
  <c r="L166" i="4" s="1"/>
  <c r="E167" i="4"/>
  <c r="A167" i="4" s="1"/>
  <c r="L167" i="4" s="1"/>
  <c r="E152" i="4"/>
  <c r="A152" i="4" s="1"/>
  <c r="L152" i="4" s="1"/>
  <c r="E184" i="4"/>
  <c r="A184" i="4" s="1"/>
  <c r="L184" i="4" s="1"/>
  <c r="E145" i="4"/>
  <c r="A145" i="4" s="1"/>
  <c r="L145" i="4" s="1"/>
  <c r="E177" i="4"/>
  <c r="A177" i="4" s="1"/>
  <c r="L177" i="4" s="1"/>
  <c r="E182" i="4"/>
  <c r="A182" i="4" s="1"/>
  <c r="L182" i="4" s="1"/>
  <c r="E183" i="4"/>
  <c r="A183" i="4" s="1"/>
  <c r="L183" i="4" s="1"/>
  <c r="F3" i="4"/>
  <c r="A94" i="4"/>
  <c r="E144" i="4"/>
  <c r="A144" i="4" s="1"/>
  <c r="L144" i="4" s="1"/>
  <c r="E176" i="4"/>
  <c r="A176" i="4" s="1"/>
  <c r="L176" i="4" s="1"/>
  <c r="E169" i="4"/>
  <c r="A169" i="4" s="1"/>
  <c r="L169" i="4" s="1"/>
  <c r="E159" i="4"/>
  <c r="A159" i="4" s="1"/>
  <c r="L159" i="4" s="1"/>
  <c r="E191" i="4"/>
  <c r="A191" i="4" s="1"/>
  <c r="L191" i="4" s="1"/>
  <c r="A123" i="4"/>
  <c r="F75" i="4"/>
  <c r="A147" i="4"/>
  <c r="L147" i="4" s="1"/>
  <c r="A179" i="4"/>
  <c r="L179" i="4" s="1"/>
  <c r="A133" i="4"/>
  <c r="A185" i="4"/>
  <c r="L185" i="4" s="1"/>
  <c r="A187" i="4"/>
  <c r="L187" i="4" s="1"/>
  <c r="A77" i="4"/>
  <c r="A50" i="4"/>
  <c r="A16" i="4"/>
  <c r="E13" i="4" l="1"/>
  <c r="A13" i="4" s="1"/>
  <c r="E142" i="4"/>
  <c r="A142" i="4" s="1"/>
  <c r="E52" i="4"/>
  <c r="A52" i="4" s="1"/>
  <c r="E56" i="4"/>
  <c r="A56" i="4" s="1"/>
  <c r="E106" i="4"/>
  <c r="A106" i="4" s="1"/>
  <c r="E113" i="4"/>
  <c r="A113" i="4" s="1"/>
  <c r="E108" i="4"/>
  <c r="A108" i="4" s="1"/>
  <c r="E47" i="4"/>
  <c r="A47" i="4" s="1"/>
  <c r="E54" i="4"/>
  <c r="A54" i="4" s="1"/>
  <c r="E55" i="4"/>
  <c r="A55" i="4" s="1"/>
  <c r="E90" i="4"/>
  <c r="A90" i="4" s="1"/>
  <c r="E95" i="4"/>
  <c r="A95" i="4" s="1"/>
  <c r="E53" i="4"/>
  <c r="A53" i="4" s="1"/>
  <c r="E10" i="4"/>
  <c r="A10" i="4" s="1"/>
  <c r="E12" i="4"/>
  <c r="A12" i="4" s="1"/>
  <c r="E9" i="4"/>
  <c r="A9" i="4" s="1"/>
  <c r="E124" i="4"/>
  <c r="A124" i="4" s="1"/>
  <c r="E11" i="4"/>
  <c r="A11" i="4" s="1"/>
  <c r="E48" i="4"/>
  <c r="A48" i="4" s="1"/>
  <c r="A141" i="4"/>
  <c r="A92" i="4"/>
  <c r="A93" i="4"/>
  <c r="A140" i="4"/>
  <c r="A14" i="4"/>
  <c r="A80" i="4"/>
  <c r="A79" i="4"/>
  <c r="A136" i="4"/>
  <c r="A137" i="4"/>
  <c r="A38" i="4"/>
  <c r="A23" i="4"/>
  <c r="A76" i="4"/>
  <c r="A20" i="4"/>
  <c r="A21" i="4"/>
  <c r="A99" i="4"/>
  <c r="A46" i="4"/>
  <c r="A45" i="4"/>
  <c r="A44" i="4"/>
  <c r="A88" i="4"/>
  <c r="A42" i="4"/>
  <c r="A41" i="4"/>
  <c r="A71" i="4"/>
  <c r="A139" i="4"/>
  <c r="A40" i="4"/>
  <c r="A15" i="4"/>
  <c r="A19" i="4"/>
  <c r="A78" i="4"/>
  <c r="A91" i="4"/>
  <c r="A72" i="4"/>
  <c r="A18" i="4"/>
  <c r="A70" i="4"/>
  <c r="A39" i="4"/>
  <c r="A22" i="4"/>
  <c r="A97" i="4"/>
  <c r="A87" i="4"/>
  <c r="A134" i="4"/>
  <c r="A30" i="4"/>
  <c r="A29" i="4"/>
  <c r="A5" i="4" l="1"/>
  <c r="A67" i="4"/>
  <c r="A43" i="4"/>
  <c r="A59" i="4"/>
  <c r="A69" i="4"/>
  <c r="A37" i="4"/>
  <c r="A17" i="4"/>
  <c r="B313" i="5" l="1"/>
  <c r="B257" i="5"/>
  <c r="D261" i="5"/>
  <c r="C261" i="5"/>
  <c r="B237" i="5"/>
  <c r="D241" i="5"/>
  <c r="C241" i="5"/>
  <c r="D733" i="5"/>
  <c r="D713" i="5"/>
  <c r="C733" i="5"/>
  <c r="B709" i="5"/>
  <c r="B729" i="5"/>
  <c r="C713" i="5"/>
  <c r="B678" i="5"/>
  <c r="C682" i="5"/>
  <c r="B677" i="5"/>
  <c r="D682" i="5"/>
  <c r="B676" i="5"/>
  <c r="B11" i="5"/>
  <c r="B53" i="5"/>
  <c r="B10" i="5"/>
  <c r="B8" i="5"/>
  <c r="B9" i="5"/>
  <c r="B7" i="5"/>
  <c r="B127" i="5"/>
  <c r="B126" i="5"/>
  <c r="B125" i="5"/>
  <c r="B124" i="5"/>
  <c r="D661" i="5"/>
  <c r="C661" i="5"/>
  <c r="B657" i="5"/>
  <c r="D640" i="5"/>
  <c r="B123" i="5"/>
  <c r="B636" i="5"/>
  <c r="C640" i="5"/>
  <c r="D131" i="5"/>
  <c r="B345" i="5"/>
  <c r="B311" i="5"/>
  <c r="D288" i="5"/>
  <c r="D97" i="5"/>
  <c r="B162" i="5"/>
  <c r="B161" i="5"/>
  <c r="B120" i="5"/>
  <c r="D16" i="5"/>
  <c r="D350" i="5"/>
  <c r="D166" i="5"/>
  <c r="C131" i="5"/>
  <c r="C166" i="5"/>
  <c r="B121" i="5"/>
  <c r="D317" i="5"/>
  <c r="C288" i="5"/>
  <c r="B87" i="5"/>
  <c r="B6" i="5"/>
  <c r="C58" i="5"/>
  <c r="B52" i="5"/>
  <c r="C350" i="5"/>
  <c r="C317" i="5"/>
  <c r="B278" i="5"/>
  <c r="D58" i="5"/>
  <c r="B51" i="5"/>
  <c r="B5" i="5"/>
  <c r="B4" i="5"/>
  <c r="B3" i="5"/>
  <c r="C97" i="5"/>
  <c r="B608" i="5"/>
  <c r="C585" i="5"/>
  <c r="B551" i="5"/>
  <c r="B548" i="5"/>
  <c r="B425" i="5"/>
  <c r="B346" i="5"/>
  <c r="C187" i="5"/>
  <c r="B90" i="5"/>
  <c r="D613" i="5"/>
  <c r="B518" i="5"/>
  <c r="B515" i="5"/>
  <c r="C431" i="5"/>
  <c r="B312" i="5"/>
  <c r="C223" i="5"/>
  <c r="B89" i="5"/>
  <c r="B609" i="5"/>
  <c r="D585" i="5"/>
  <c r="B549" i="5"/>
  <c r="B552" i="5"/>
  <c r="C557" i="5"/>
  <c r="D493" i="5"/>
  <c r="D466" i="5"/>
  <c r="B426" i="5"/>
  <c r="C408" i="5"/>
  <c r="D383" i="5"/>
  <c r="B279" i="5"/>
  <c r="B281" i="5"/>
  <c r="C522" i="5"/>
  <c r="B379" i="5"/>
  <c r="B183" i="5"/>
  <c r="D187" i="5"/>
  <c r="C613" i="5"/>
  <c r="B581" i="5"/>
  <c r="B122" i="5"/>
  <c r="B517" i="5"/>
  <c r="D557" i="5"/>
  <c r="D522" i="5"/>
  <c r="B489" i="5"/>
  <c r="B462" i="5"/>
  <c r="B404" i="5"/>
  <c r="D408" i="5"/>
  <c r="B280" i="5"/>
  <c r="B92" i="5"/>
  <c r="B219" i="5"/>
  <c r="C205" i="5"/>
  <c r="B91" i="5"/>
  <c r="C16" i="5"/>
  <c r="B550" i="5"/>
  <c r="C493" i="5"/>
  <c r="D431" i="5"/>
  <c r="C383" i="5"/>
  <c r="B282" i="5"/>
  <c r="D223" i="5"/>
  <c r="B201" i="5"/>
  <c r="B88" i="5"/>
  <c r="D205" i="5"/>
  <c r="B553" i="5"/>
  <c r="B516" i="5"/>
  <c r="C466" i="5"/>
  <c r="B378" i="5"/>
  <c r="B283" i="5"/>
  <c r="P3" i="4"/>
  <c r="Q41" i="4" l="1"/>
  <c r="Q42" i="4"/>
  <c r="Q40" i="4"/>
  <c r="Q39" i="4"/>
  <c r="A261" i="5"/>
  <c r="E261" i="5"/>
  <c r="E241" i="5"/>
  <c r="A241" i="5"/>
  <c r="Q37" i="4"/>
  <c r="Q35" i="4"/>
  <c r="Q33" i="4"/>
  <c r="Q31" i="4"/>
  <c r="Q29" i="4"/>
  <c r="Q27" i="4"/>
  <c r="Q25" i="4"/>
  <c r="Q26" i="4"/>
  <c r="Q28" i="4"/>
  <c r="Q24" i="4"/>
  <c r="Q30" i="4"/>
  <c r="Q32" i="4"/>
  <c r="Q34" i="4"/>
  <c r="Q36" i="4"/>
  <c r="Q38" i="4"/>
  <c r="E733" i="5"/>
  <c r="A733" i="5"/>
  <c r="L733" i="5" s="1"/>
  <c r="A713" i="5"/>
  <c r="L713" i="5" s="1"/>
  <c r="E713" i="5"/>
  <c r="A682" i="5"/>
  <c r="E682" i="5"/>
  <c r="E661" i="5"/>
  <c r="A661" i="5"/>
  <c r="A640" i="5"/>
  <c r="E640" i="5"/>
  <c r="E131" i="5"/>
  <c r="A131" i="5"/>
  <c r="A223" i="5"/>
  <c r="E223" i="5"/>
  <c r="E585" i="5"/>
  <c r="A585" i="5"/>
  <c r="E58" i="5"/>
  <c r="A58" i="5"/>
  <c r="E466" i="5"/>
  <c r="A466" i="5"/>
  <c r="A16" i="5"/>
  <c r="E16" i="5"/>
  <c r="A288" i="5"/>
  <c r="L288" i="5" s="1"/>
  <c r="E288" i="5"/>
  <c r="A493" i="5"/>
  <c r="E493" i="5"/>
  <c r="E205" i="5"/>
  <c r="A205" i="5"/>
  <c r="A317" i="5"/>
  <c r="L317" i="5" s="1"/>
  <c r="E317" i="5"/>
  <c r="E383" i="5"/>
  <c r="A383" i="5"/>
  <c r="L383" i="5" s="1"/>
  <c r="A187" i="5"/>
  <c r="E187" i="5"/>
  <c r="A613" i="5"/>
  <c r="L613" i="5" s="1"/>
  <c r="E613" i="5"/>
  <c r="A522" i="5"/>
  <c r="L522" i="5" s="1"/>
  <c r="E522" i="5"/>
  <c r="E408" i="5"/>
  <c r="A408" i="5"/>
  <c r="A557" i="5"/>
  <c r="L557" i="5" s="1"/>
  <c r="E557" i="5"/>
  <c r="E431" i="5"/>
  <c r="A431" i="5"/>
  <c r="L431" i="5" s="1"/>
  <c r="E97" i="5"/>
  <c r="A97" i="5"/>
  <c r="L97" i="5" s="1"/>
  <c r="E350" i="5"/>
  <c r="A350" i="5"/>
  <c r="L350" i="5" s="1"/>
  <c r="E166" i="5"/>
  <c r="A166" i="5"/>
  <c r="L166" i="5" s="1"/>
  <c r="Q22" i="4"/>
  <c r="Q23" i="4"/>
  <c r="Q7" i="4"/>
  <c r="Q12" i="4"/>
  <c r="Q16" i="4"/>
  <c r="Q5" i="4"/>
  <c r="Q11" i="4"/>
  <c r="Q18" i="4"/>
  <c r="Q10" i="4"/>
  <c r="Q8" i="4"/>
  <c r="Q19" i="4"/>
  <c r="Q20" i="4"/>
  <c r="Q13" i="4"/>
  <c r="Q21" i="4"/>
  <c r="Q14" i="4"/>
  <c r="Q17" i="4"/>
  <c r="Q9" i="4"/>
  <c r="Q6" i="4"/>
  <c r="Q15" i="4"/>
  <c r="Q4" i="4"/>
  <c r="L261" i="5" l="1"/>
  <c r="D59" i="6"/>
  <c r="D58" i="6"/>
  <c r="G257" i="5"/>
  <c r="M257" i="5" s="1"/>
  <c r="D61" i="6"/>
  <c r="D60" i="6"/>
  <c r="L241" i="5"/>
  <c r="D65" i="6"/>
  <c r="D63" i="6"/>
  <c r="G237" i="5"/>
  <c r="M237" i="5" s="1"/>
  <c r="D62" i="6"/>
  <c r="D64" i="6"/>
  <c r="N713" i="5"/>
  <c r="M713" i="5"/>
  <c r="N733" i="5"/>
  <c r="M733" i="5"/>
  <c r="G729" i="5"/>
  <c r="M729" i="5" s="1"/>
  <c r="G709" i="5"/>
  <c r="M709" i="5" s="1"/>
  <c r="L682" i="5"/>
  <c r="N682" i="5" s="1"/>
  <c r="G678" i="5"/>
  <c r="M678" i="5" s="1"/>
  <c r="G677" i="5"/>
  <c r="M677" i="5" s="1"/>
  <c r="G676" i="5"/>
  <c r="M676" i="5" s="1"/>
  <c r="G127" i="5"/>
  <c r="M127" i="5" s="1"/>
  <c r="G52" i="5"/>
  <c r="M52" i="5" s="1"/>
  <c r="G53" i="5"/>
  <c r="M53" i="5" s="1"/>
  <c r="G10" i="5"/>
  <c r="M10" i="5" s="1"/>
  <c r="G11" i="5"/>
  <c r="M11" i="5" s="1"/>
  <c r="G7" i="5"/>
  <c r="M7" i="5" s="1"/>
  <c r="G9" i="5"/>
  <c r="M9" i="5" s="1"/>
  <c r="G8" i="5"/>
  <c r="M8" i="5" s="1"/>
  <c r="L131" i="5"/>
  <c r="N131" i="5" s="1"/>
  <c r="G125" i="5"/>
  <c r="M125" i="5" s="1"/>
  <c r="G126" i="5"/>
  <c r="M126" i="5" s="1"/>
  <c r="N97" i="5"/>
  <c r="M97" i="5"/>
  <c r="G51" i="5"/>
  <c r="M51" i="5" s="1"/>
  <c r="L58" i="5"/>
  <c r="N431" i="5"/>
  <c r="M431" i="5"/>
  <c r="G404" i="5"/>
  <c r="M404" i="5" s="1"/>
  <c r="L408" i="5"/>
  <c r="G201" i="5"/>
  <c r="M201" i="5" s="1"/>
  <c r="L205" i="5"/>
  <c r="G581" i="5"/>
  <c r="M581" i="5" s="1"/>
  <c r="L585" i="5"/>
  <c r="N166" i="5"/>
  <c r="M166" i="5"/>
  <c r="N557" i="5"/>
  <c r="M557" i="5"/>
  <c r="N522" i="5"/>
  <c r="M522" i="5"/>
  <c r="G183" i="5"/>
  <c r="M183" i="5" s="1"/>
  <c r="L187" i="5"/>
  <c r="N317" i="5"/>
  <c r="M317" i="5"/>
  <c r="G489" i="5"/>
  <c r="M489" i="5" s="1"/>
  <c r="L493" i="5"/>
  <c r="G6" i="5"/>
  <c r="M6" i="5" s="1"/>
  <c r="L16" i="5"/>
  <c r="G219" i="5"/>
  <c r="M219" i="5" s="1"/>
  <c r="L223" i="5"/>
  <c r="G636" i="5"/>
  <c r="M636" i="5" s="1"/>
  <c r="L640" i="5"/>
  <c r="N383" i="5"/>
  <c r="M383" i="5"/>
  <c r="G462" i="5"/>
  <c r="M462" i="5" s="1"/>
  <c r="L466" i="5"/>
  <c r="G657" i="5"/>
  <c r="M657" i="5" s="1"/>
  <c r="L661" i="5"/>
  <c r="N350" i="5"/>
  <c r="M350" i="5"/>
  <c r="N613" i="5"/>
  <c r="M613" i="5"/>
  <c r="N288" i="5"/>
  <c r="M288" i="5"/>
  <c r="G5" i="5"/>
  <c r="M5" i="5" s="1"/>
  <c r="G3" i="5"/>
  <c r="M3" i="5" s="1"/>
  <c r="G4" i="5"/>
  <c r="M4" i="5" s="1"/>
  <c r="G162" i="5"/>
  <c r="M162" i="5" s="1"/>
  <c r="G161" i="5"/>
  <c r="M161" i="5" s="1"/>
  <c r="G91" i="5"/>
  <c r="M91" i="5" s="1"/>
  <c r="G89" i="5"/>
  <c r="M89" i="5" s="1"/>
  <c r="G87" i="5"/>
  <c r="M87" i="5" s="1"/>
  <c r="G92" i="5"/>
  <c r="M92" i="5" s="1"/>
  <c r="G90" i="5"/>
  <c r="M90" i="5" s="1"/>
  <c r="G88" i="5"/>
  <c r="M88" i="5" s="1"/>
  <c r="G551" i="5"/>
  <c r="M551" i="5" s="1"/>
  <c r="G550" i="5"/>
  <c r="M550" i="5" s="1"/>
  <c r="G553" i="5"/>
  <c r="M553" i="5" s="1"/>
  <c r="G549" i="5"/>
  <c r="M549" i="5" s="1"/>
  <c r="G552" i="5"/>
  <c r="M552" i="5" s="1"/>
  <c r="G548" i="5"/>
  <c r="M548" i="5" s="1"/>
  <c r="G313" i="5"/>
  <c r="M313" i="5" s="1"/>
  <c r="G312" i="5"/>
  <c r="M312" i="5" s="1"/>
  <c r="G311" i="5"/>
  <c r="M311" i="5" s="1"/>
  <c r="G345" i="5"/>
  <c r="M345" i="5" s="1"/>
  <c r="G346" i="5"/>
  <c r="M346" i="5" s="1"/>
  <c r="G426" i="5"/>
  <c r="M426" i="5" s="1"/>
  <c r="G425" i="5"/>
  <c r="M425" i="5" s="1"/>
  <c r="G379" i="5"/>
  <c r="M379" i="5" s="1"/>
  <c r="G378" i="5"/>
  <c r="M378" i="5" s="1"/>
  <c r="G124" i="5"/>
  <c r="M124" i="5" s="1"/>
  <c r="G122" i="5"/>
  <c r="M122" i="5" s="1"/>
  <c r="G120" i="5"/>
  <c r="M120" i="5" s="1"/>
  <c r="G123" i="5"/>
  <c r="M123" i="5" s="1"/>
  <c r="G121" i="5"/>
  <c r="M121" i="5" s="1"/>
  <c r="G518" i="5"/>
  <c r="M518" i="5" s="1"/>
  <c r="G517" i="5"/>
  <c r="M517" i="5" s="1"/>
  <c r="G516" i="5"/>
  <c r="M516" i="5" s="1"/>
  <c r="G515" i="5"/>
  <c r="M515" i="5" s="1"/>
  <c r="G608" i="5"/>
  <c r="M608" i="5" s="1"/>
  <c r="G609" i="5"/>
  <c r="M609" i="5" s="1"/>
  <c r="G283" i="5"/>
  <c r="M283" i="5" s="1"/>
  <c r="G279" i="5"/>
  <c r="M279" i="5" s="1"/>
  <c r="G282" i="5"/>
  <c r="M282" i="5" s="1"/>
  <c r="G278" i="5"/>
  <c r="M278" i="5" s="1"/>
  <c r="G281" i="5"/>
  <c r="M281" i="5" s="1"/>
  <c r="G280" i="5"/>
  <c r="M280" i="5" s="1"/>
  <c r="D23" i="6"/>
  <c r="D22" i="6"/>
  <c r="D20" i="6"/>
  <c r="D31" i="6"/>
  <c r="D28" i="6"/>
  <c r="D29" i="6"/>
  <c r="D30" i="6"/>
  <c r="D21" i="6"/>
  <c r="D42" i="6"/>
  <c r="D41" i="6"/>
  <c r="D43" i="6"/>
  <c r="D19" i="6"/>
  <c r="D14" i="6"/>
  <c r="D13" i="6"/>
  <c r="D11" i="6"/>
  <c r="D12" i="6"/>
  <c r="D85" i="6"/>
  <c r="D56" i="6"/>
  <c r="D55" i="6"/>
  <c r="D53" i="6"/>
  <c r="D54" i="6"/>
  <c r="D86" i="6"/>
  <c r="D9" i="6"/>
  <c r="D10" i="6"/>
  <c r="D5" i="6"/>
  <c r="D6" i="6"/>
  <c r="D4" i="6"/>
  <c r="D8" i="6"/>
  <c r="D7" i="6"/>
  <c r="B80" i="5"/>
  <c r="D3" i="6"/>
  <c r="D69" i="6"/>
  <c r="D68" i="6"/>
  <c r="D66" i="6"/>
  <c r="D67" i="6"/>
  <c r="D70" i="6"/>
  <c r="D73" i="6"/>
  <c r="D76" i="6"/>
  <c r="D78" i="6"/>
  <c r="D79" i="6"/>
  <c r="D72" i="6"/>
  <c r="D77" i="6"/>
  <c r="D74" i="6"/>
  <c r="D75" i="6"/>
  <c r="D71" i="6"/>
  <c r="D50" i="6"/>
  <c r="D51" i="6"/>
  <c r="D49" i="6"/>
  <c r="D48" i="6"/>
  <c r="D46" i="6"/>
  <c r="D45" i="6"/>
  <c r="D47" i="6"/>
  <c r="D44" i="6"/>
  <c r="D18" i="6"/>
  <c r="D15" i="6"/>
  <c r="D17" i="6"/>
  <c r="D16" i="6"/>
  <c r="D82" i="6"/>
  <c r="D81" i="6"/>
  <c r="D80" i="6"/>
  <c r="D52" i="6"/>
  <c r="D57" i="6"/>
  <c r="D37" i="6"/>
  <c r="D32" i="6"/>
  <c r="D34" i="6"/>
  <c r="D33" i="6"/>
  <c r="D39" i="6"/>
  <c r="D40" i="6"/>
  <c r="D35" i="6"/>
  <c r="D36" i="6"/>
  <c r="D38" i="6"/>
  <c r="D87" i="6"/>
  <c r="D88" i="6"/>
  <c r="D84" i="6"/>
  <c r="D83" i="6"/>
  <c r="D27" i="6"/>
  <c r="D25" i="6"/>
  <c r="D24" i="6"/>
  <c r="D26" i="6"/>
  <c r="Q3" i="4"/>
  <c r="N261" i="5" l="1"/>
  <c r="M261" i="5"/>
  <c r="M241" i="5"/>
  <c r="N241" i="5"/>
  <c r="M682" i="5"/>
  <c r="M131" i="5"/>
  <c r="L117" i="4"/>
  <c r="L58" i="4"/>
  <c r="L27" i="4"/>
  <c r="L109" i="4"/>
  <c r="L110" i="4"/>
  <c r="L31" i="4"/>
  <c r="L112" i="4"/>
  <c r="L30" i="4"/>
  <c r="L5" i="4"/>
  <c r="N223" i="5"/>
  <c r="M223" i="5"/>
  <c r="N493" i="5"/>
  <c r="M493" i="5"/>
  <c r="N187" i="5"/>
  <c r="M187" i="5"/>
  <c r="N585" i="5"/>
  <c r="M585" i="5"/>
  <c r="N408" i="5"/>
  <c r="M408" i="5"/>
  <c r="N58" i="5"/>
  <c r="M58" i="5"/>
  <c r="N661" i="5"/>
  <c r="M661" i="5"/>
  <c r="N466" i="5"/>
  <c r="M466" i="5"/>
  <c r="N640" i="5"/>
  <c r="M640" i="5"/>
  <c r="N16" i="5"/>
  <c r="M16" i="5"/>
  <c r="N205" i="5"/>
  <c r="M205" i="5"/>
</calcChain>
</file>

<file path=xl/sharedStrings.xml><?xml version="1.0" encoding="utf-8"?>
<sst xmlns="http://schemas.openxmlformats.org/spreadsheetml/2006/main" count="4341" uniqueCount="1776">
  <si>
    <t>Requerimientos</t>
  </si>
  <si>
    <t>Actores</t>
  </si>
  <si>
    <t>Entidades</t>
  </si>
  <si>
    <t>Acciones</t>
  </si>
  <si>
    <t>Casos de Uso de Negocio</t>
  </si>
  <si>
    <t>Casos de Uso de Sistema</t>
  </si>
  <si>
    <t>Reglas de Negocio</t>
  </si>
  <si>
    <t>Problema</t>
  </si>
  <si>
    <t>Objetivo</t>
  </si>
  <si>
    <t>Pedimento</t>
  </si>
  <si>
    <t>Recepción</t>
  </si>
  <si>
    <t>Almacenamiento</t>
  </si>
  <si>
    <t>Entrada / Salida de Mercancías</t>
  </si>
  <si>
    <t>Comandas</t>
  </si>
  <si>
    <t>Nombre</t>
  </si>
  <si>
    <t>Código</t>
  </si>
  <si>
    <t>Descripción</t>
  </si>
  <si>
    <t>Toma de Orden</t>
  </si>
  <si>
    <t>Requerimiento de Negocio - Alto Nivel</t>
  </si>
  <si>
    <t>Requerimiento de Negocio - Bajo Nivel</t>
  </si>
  <si>
    <t>Administración de Proveedores</t>
  </si>
  <si>
    <t>Consulta de Niveles de Inventario</t>
  </si>
  <si>
    <t>Administración de Platillos y Bebidas</t>
  </si>
  <si>
    <t>Administración de Ordenes de Recepción</t>
  </si>
  <si>
    <t>Administración de Inventarios</t>
  </si>
  <si>
    <t>Elaboración de Inventarios físicos</t>
  </si>
  <si>
    <t>Elaboración de órdenes de pago</t>
  </si>
  <si>
    <t>Entrada/Salida de Mercancías</t>
  </si>
  <si>
    <t>Traspaso de Mercancías</t>
  </si>
  <si>
    <t>1. Mediante la toma de órdenes de comedor vía la aplicación utilizando el catálogo de platillos y bebidas con los que cuenta el restaurante.</t>
  </si>
  <si>
    <t>1. Mediante la continua actualización de los niveles de inventario.
2. Mediante la ejecución programada de las órdenes de compra a proveedores para solicitar el re abasto de mercancías cuando estás hayan alcanzado su punto de reorden.</t>
  </si>
  <si>
    <t>1. Mediante la emisión de órdenes de compra que constituirán el documento que permita la entrada de mercancía al inventario.
2. Mediante la emisión de órdenes de pago a proveedores por concepto de la mercancía efectivamente ingresada al inventario.</t>
  </si>
  <si>
    <t>1. Mediante la emisión de documentos de entrada de mercancías al almacén que permita constatar día y hora de entrada.
2. Mediante la clasificación del producto, costo y ubicación dentro del almacén.</t>
  </si>
  <si>
    <t>1. Mediante la elaboración de órdenes de pago a proveedores con base en las mercancías efectivamente ingresadas en el inventario.</t>
  </si>
  <si>
    <t>1. En la disminución de unidades: En el proceso de ordenar los productos vía la comanda generada por el mesero o por la elaboración interna de platillos previa a su solicitud por parte del cliente o por la elaboración de preparaciones (material en proceso). En cualquier caso las mercancías siempre estarán ligadas a un inventario ya sea físico o en tránsito.
2. En el aumento de unidades: En el proceso de ingreso de mercancías en el o los almacenes del restaurante.</t>
  </si>
  <si>
    <t>Requerimientos de Negocio - Alto Nivel</t>
  </si>
  <si>
    <t>Requerimientos de Negocio - Bajo Nivel</t>
  </si>
  <si>
    <t>Seq</t>
  </si>
  <si>
    <t>Elaboración de órdenes de Compra</t>
  </si>
  <si>
    <t>Pago a proveedores</t>
  </si>
  <si>
    <t>Cálculo del costo del platillo en función de los ingredientes seleccionados</t>
  </si>
  <si>
    <t>ABC de Platillos</t>
  </si>
  <si>
    <t>Asignación de ingredientes/mercancías a platillos en cantidades</t>
  </si>
  <si>
    <t>Facilidad para la captura de distintas calidades de producto para un mismo ingrediente</t>
  </si>
  <si>
    <t>Capacidad del catálogo de platillos para especificar que determinado platillo se ha preparado con antelación ante la recepción de la orden de la comanda</t>
  </si>
  <si>
    <t>Capacidad de la aplicación para generar un conteo de la cantidad de platillos que se podrían generar en función de la mercadería disponible en inventario</t>
  </si>
  <si>
    <t>La mercancía debería poder cuantificarse en términos de su valor en inventario al momento de ser ingresada y el monto que vale según la cantidad que resta por ser consumida</t>
  </si>
  <si>
    <t>01</t>
  </si>
  <si>
    <t>02</t>
  </si>
  <si>
    <t>03</t>
  </si>
  <si>
    <t>04</t>
  </si>
  <si>
    <t>05</t>
  </si>
  <si>
    <t>06</t>
  </si>
  <si>
    <t>07</t>
  </si>
  <si>
    <t>08</t>
  </si>
  <si>
    <t>09</t>
  </si>
  <si>
    <t>Version</t>
  </si>
  <si>
    <t>Impacto de la apertura/cierre de la cuenta en el conteo del inventario</t>
  </si>
  <si>
    <t>Permitir la consulta de la última orden hecha al proveedor, saber si ha sido surtida o no y de ser posible el tiempo promedio en la que sus órdenes sean surtidas</t>
  </si>
  <si>
    <t>Como parte de la información del proveedor sería relevante conocer los términos de pago de este y si acepta crédito cuantos días acepta</t>
  </si>
  <si>
    <t>Por sistema debería existir un almacén por default al referirse a la cocina, el cual constituye el último punto antes de pasar a comedor o ser dado al cliente</t>
  </si>
  <si>
    <t>Checklist de entrada</t>
  </si>
  <si>
    <t>Al_01</t>
  </si>
  <si>
    <t>Al_03</t>
  </si>
  <si>
    <t>Co_01</t>
  </si>
  <si>
    <t>Co_02</t>
  </si>
  <si>
    <t>Pe_01</t>
  </si>
  <si>
    <t>El sistema deberá proveer la funcionalidad de generar órdenes de recepción de mercancía en el almacén. Dichas órdenes se originan a su vez de una órden de compra y constituye un comprobante para el proveedor y eventualmente para procesar su pago. Una característica adicional de estas órdenes es que junto con las entradas al almacén (generadas por el mismo restaurante) son el documento oficial para la entrada de articulos y mercadería al inventario</t>
  </si>
  <si>
    <t>Re_01</t>
  </si>
  <si>
    <t>Las órdenes de recepción deberán incluir un mecanismo que ante su ingreso requiera ya sea una aprobación de un usuario administrador o que sean "firmadas" con la palabra clave de la persona recibiendo la entrega</t>
  </si>
  <si>
    <t>El sistema deberá mostrar durante el proceso de recepción de mercancías un listado de características de calidad que cada mercancía tiene asociado a fín de servir de guía al recepcionista de que el producto cumple con los estándares definidos por el restarurante. El cumplimiento o no de estos estándares no imposibilita la entrada del producto sino que sirve como un mecanismo de control de calidad para proveedores</t>
  </si>
  <si>
    <t>Recordatorio constante en caso de que se haya vencido la fecha limite de entrega para ordenes de compra</t>
  </si>
  <si>
    <t>Documento de orden de pago imprimible</t>
  </si>
  <si>
    <t>Documento de orden de recepción imprimible</t>
  </si>
  <si>
    <t>Pago a proveedores, creacion automatica a partir de orden de recepcion, no posible modificacion ni cancelacion sino por medio de la recepcion. Recordatorio constante en caso de que se haya vencido la fecha limite de pago. Se dara la orden de pago como pagada mediante un mecanismo de aprobacion o un password de adminitrador al momento del cierre. pago ligado con respecto a lo efectivamente ingresado al almacen por medio de la orden de recepción. La orden de recepción debería contener un campo de comentarios</t>
  </si>
  <si>
    <t>Pa_01</t>
  </si>
  <si>
    <t>Administración de Mercancías</t>
  </si>
  <si>
    <t>El sistema deberá proveer la funcionalidad de especificar las mercancías-ingredientes que componen los platillos ofrecidos por el restaurante. Deberá asociarse a cada mercancía una clasificación (frutas, verduras, carnes, etc.), entre otros detalles que son especificados en requerimientos asociados</t>
  </si>
  <si>
    <t>Co_03</t>
  </si>
  <si>
    <t>Caracteristicas para la recepcion de mercancias, es decir, asociada a cada mercacía puede ser especificada una lista predefinida de dimensiones que deberán ser revisadas en su recepción, esta lista puede ser especificada por medio de comentarios</t>
  </si>
  <si>
    <t>Recordatorio de mercancias en el almacen que están proximas a caducarse. Esta puede ser una consulta o un reporte automático que generará alertas conforme esa fecha se vaya acercando.</t>
  </si>
  <si>
    <t>Numero de platillos consumidos por dia de la semana. Será una información que se asocia a cada platillo. Esta información es básica para generar el conteo de platillos disponibles para venta según el inventario. Se podrá especificar el número de platillos para que se notifique al usuario que se deberá hacer una órden de compra de mercancías</t>
  </si>
  <si>
    <t>El sistema permitirá la consulta de los niveles de inventario en función de los platillos que se encuentran disponible para venta, tomando en cuenta las mercancías en el almacén y las cantidades de estos, especificadas en el catálogo de platillos</t>
  </si>
  <si>
    <t>Especificar Dias de credito y tiempo de surtido en proveedores</t>
  </si>
  <si>
    <t>Manejo de lotes. Debido a la naturaleza de los productos a inventariar se requiere que las mercaderías se inventarien en términos de lotes, es decir conjuntos de productos que comparten la misma unidad de medida. Por ejemplo en el caso de cierto corte de carne cuya unidad de medida es kilogramo, una entrega de 5kg de carne se convertirá en un lote de 5kg, este mismo lote comparte la misma fecha de ingreso y costo.</t>
  </si>
  <si>
    <t>Listado de órdenes</t>
  </si>
  <si>
    <t>Cierre de Orden. Es necesario especificar si la órden fue procesada exitosamente o cancelada. En el caso del proceso exitoso, se concreta la disminución de inventario de la cocina pero si la órden es cancelada entonces no se concreta la disminución de inventario</t>
  </si>
  <si>
    <t>Sugerencia de la cantidad de mercadería a tener disponible en el día. La cuál se efectuará considerando la cantidad de platillos a venderse diariamente. El sistema sugerirá el proseguir con un traspaso a la cocina (alamacén de trabajo) en donde se evita la tarea de realizar un traspaso manual mercancía diariamente</t>
  </si>
  <si>
    <t>Listado de órdenes. Resumen-Consulta de órdenes activas y cerradas durante un periodo de tiempo predefinido.</t>
  </si>
  <si>
    <t>Almacén de mercadería, preparación o de platillo. Son categorías de almacenes que deberán ser tomadas en cuenta en la alta de estos.</t>
  </si>
  <si>
    <t>Status</t>
  </si>
  <si>
    <t>Inactivo</t>
  </si>
  <si>
    <t>Comentarios</t>
  </si>
  <si>
    <t>Para propósitos de dar facilidad en términos de fácilidad de control no se contemplarán almacenes lógicos para el control de la mercadería</t>
  </si>
  <si>
    <t>Activo</t>
  </si>
  <si>
    <t>Fecha</t>
  </si>
  <si>
    <t>Hora</t>
  </si>
  <si>
    <t>El sistema tendrá que proporcionar una forma de hacer carga de datos de un archivo de excel para facilitar la captura de mercaderías</t>
  </si>
  <si>
    <t>El sistema deberá contar con una forma de calcular internamente unidades de medida. Por ejemplo si se captura que la unidad de medida de cierto producto en almacén es kg y la unidad de medida de este producto para su consumo es gramos, la disminución de este producto en el inventario deberá considerar que cada 1000 gramos es un kilo sin necesidad que el usuario lo predefina. Cabe la posibilidad de que el usuario si de de alta otras unidades de medida adicionales lo cual requerirá cierto grado de configuración del módulo</t>
  </si>
  <si>
    <t>Por el momento sólo se considerará que la aplicación funciona para sólo una sucursal</t>
  </si>
  <si>
    <t>No estoy muy seguro acerca de la factibilidad de hacer un bloqueo del almacen. Por el momento esta funcionalidad no se estará llevando a cabo</t>
  </si>
  <si>
    <t>Se podría manejar como una consulta</t>
  </si>
  <si>
    <t>El sistema EZChef también considera unidades de medida de conteo</t>
  </si>
  <si>
    <t>A fin de reducir complejidad innecesaria, elimino este requerimiento. Todo platillo que se registre en el sistema sea interno o no tendrá los mismos campos de captura y forma de contabilizarse</t>
  </si>
  <si>
    <t>Esta funcionalidad se queda dado que puede contribuír a la facilidad de captura de información</t>
  </si>
  <si>
    <t>Combos o grupos de platillos. Solamente los platillos y los combos podrán ser agregados a las órdenes. El sistema dará la facilidad de generar combos que agrupen varios platillos.</t>
  </si>
  <si>
    <t>No se considerarán como actividades independientes. Al momento de salvar la orden o ejecutarla será cunado se haga el impacto en el inventario</t>
  </si>
  <si>
    <t>Al cancelarse la órden se dá reversa en el inventario</t>
  </si>
  <si>
    <t>Dentro de la funcionalidad del sistema, se contempla la de manejar un inventario físico, el cuál queda registrado dentro del sistema cada vez que se realiza. Esta funcionalidad genera un listado de los productos a inventariar, su ubicación y conteo actual. Ante la diferencia en el conteo ya sea en contra o a favor, se deberán ingresar las diferencias y el ajuste quedará asentado en el sistema, especificando a que se debió por concepto de este proceso.</t>
  </si>
  <si>
    <t>No estoy seguro de incluir esto, es mayor trabajo de captura para el usuario y probablemente no se alinie con el mercado al que me estoy enfocando</t>
  </si>
  <si>
    <t>Facilidad para la captura de diferentes unidades de medida asociadas a una mercadería. Es decir una unidad de medida en la que es ingresada al almacén y la unidad de medida en la que se consume</t>
  </si>
  <si>
    <t>Capacidad del catálogo de platillos para especificar que determinado platillo no es para consumo del cliente sino es una materia en proceso. Como sub platillo o preparación</t>
  </si>
  <si>
    <t>Este requerimiento ya se está considerando actualmente en el sistema. AKA duplicado</t>
  </si>
  <si>
    <t>Duplicado.</t>
  </si>
  <si>
    <t>En la creación de la orden, se registrará el día, hora , usuario registrado y se permitirá el ingreso de platillos a la comanda. El registro de la comanda validará que exista la cantidad suficiente de mercadería para satisfacer la órden. De la misma manera en la que se realiza el cálculo para sugerir órdenes de compra. En caso de no existir cantidad suficiente, el sistema generará la alerta y en caso de que se prosiga con la operación se efectuará la órden sin embargo al inventario se manejará con numeros negativos</t>
  </si>
  <si>
    <t>El precio de compra se podrá registrar en un proceso de carga inicial de datos, sin emabrgo la actualizción  constante se dará a través de la recepción de mercancias.</t>
  </si>
  <si>
    <t>Funcionalidad meramente informativa</t>
  </si>
  <si>
    <t>Caducidad de Mercancías se considera a partir de la fecha de ingreso al almacén. Por lo que a la recepción el lote al que pertenece determinada mercancía será asociado con una fecha de caducidad en función del número de días en que determinada mercadería caduca</t>
  </si>
  <si>
    <t>Funcionalidad informativa</t>
  </si>
  <si>
    <t>Dentro de la información del catálogo de mercancías se podrá especificar el numero de días antes de la caducidad para que el usuario sea informado.</t>
  </si>
  <si>
    <t>Reporteo</t>
  </si>
  <si>
    <t>Rep</t>
  </si>
  <si>
    <t>El sistema generará un reporte que permita conocer a nivel platillo: El número de platillos vendidos, el porcentaje del total de ventas que representa cada platillo, el ranking, precio en el menú, costo del platillo, costo/precio venta, margen bruto (precio-costo), monto total de venta del platillo, monto total de costo, monto total de margen bruto y margen de contribución a las ventas.</t>
  </si>
  <si>
    <t>El sistema generará un reporte que permita conocer a nivel categoría de producto: El número de platillos vendidos, el porcentaje del total de ventas que representa cada platillo, el ranking, precio en el menú, costo del platillo, costo/precio venta, margen bruto (precio-costo), monto total de venta del platillo, monto total de costo, monto total de margen bruto y margen de contribución a las ventas.</t>
  </si>
  <si>
    <t>El sistema generará un reporte que permita conocer a nivel de mercancía: El número de platillos vendidos, el porcentaje del total de ventas que representa cada platillo, el ranking, precio en el menú, costo del platillo, costo/precio venta, margen bruto (precio-costo), monto total de venta del platillo, monto total de costo, monto total de margen bruto y margen de contribución a las ventas.</t>
  </si>
  <si>
    <t>Los reportes deberán de poder generar información en un rango mensual, sin embargo será posible hacer una consolidación a fin de mostrar estos datos en un rango de tiempo anual e inclusive hacer comparación entre años pasados</t>
  </si>
  <si>
    <t>Rep_01</t>
  </si>
  <si>
    <t>Rep_03</t>
  </si>
  <si>
    <t>Rep_02</t>
  </si>
  <si>
    <t>Análisis de Costos</t>
  </si>
  <si>
    <t>1. Mediante el cómputo de las operaciones de Pedimento, Recepción, Almacenamiento y Pagos. El usuario tendrá una visión integral del comportamiento del inventario y una serie de análisis que le permitirán ver desde una perspectiva de mayor nivel el desempeño de su administración</t>
  </si>
  <si>
    <t>Reportes de Inventarios</t>
  </si>
  <si>
    <t>Reportes de Proveedores</t>
  </si>
  <si>
    <t>Reportes de órdenes de compra</t>
  </si>
  <si>
    <t>Reportes de entradas/salidas de mercancía</t>
  </si>
  <si>
    <t>Rep_04</t>
  </si>
  <si>
    <t>Capacidad del sistema de generar un listado de órdenes de compra activas y cerradas. Comparar fecha de apertura vs fecha actual en caso de las órdenes abiertas, conocer el número de días que estas llevan en ese estado</t>
  </si>
  <si>
    <t>Capacidad del sistema de generar un reporte de entradas y salidas de mercancía de los almacenes. Se especificará si la enttrada se debió a una órden de recepció o si la salida fue debido a una órden y especificará según sea el caso el código del documento</t>
  </si>
  <si>
    <t>Rep_05</t>
  </si>
  <si>
    <t>Al_01_01</t>
  </si>
  <si>
    <t>Al_02_01</t>
  </si>
  <si>
    <t>Pa_01_02</t>
  </si>
  <si>
    <t>Seq.</t>
  </si>
  <si>
    <t>Interfaz de Usuario</t>
  </si>
  <si>
    <t>Co_01_02</t>
  </si>
  <si>
    <t>Nombre:</t>
  </si>
  <si>
    <t>Última actualización</t>
  </si>
  <si>
    <t># de porciones</t>
  </si>
  <si>
    <t>Categoría</t>
  </si>
  <si>
    <t>Unidad de Medida</t>
  </si>
  <si>
    <t>Número de unidades</t>
  </si>
  <si>
    <t>Duplicar platillo</t>
  </si>
  <si>
    <t>Imprimir Platillo</t>
  </si>
  <si>
    <t>Limpiar Platillo</t>
  </si>
  <si>
    <t>Seleccionar Categoría</t>
  </si>
  <si>
    <t>Seleccionar Ingrediente:</t>
  </si>
  <si>
    <t>Costo por Ingrediente</t>
  </si>
  <si>
    <t>Costo Total</t>
  </si>
  <si>
    <t>Eliminar Ingrediente</t>
  </si>
  <si>
    <t>Agregar Nota</t>
  </si>
  <si>
    <t>Costo del Platillo</t>
  </si>
  <si>
    <t>Costo de la porcion</t>
  </si>
  <si>
    <t>Elemento</t>
  </si>
  <si>
    <t>Funcionalidad</t>
  </si>
  <si>
    <t>Nombre del Platillo</t>
  </si>
  <si>
    <t>Fecha de la última actualización de información relacionada con el platillo</t>
  </si>
  <si>
    <t>Número de porciones que se pueden producir a partir de los ingredientes en el platillo (potencialmente se requiera cambiar el nombre a receta)</t>
  </si>
  <si>
    <t>Precio del Platillo</t>
  </si>
  <si>
    <t>Precio de venta del platillo en el menú</t>
  </si>
  <si>
    <t>Categoría en la que se engloba el ingrediente. Por ejemplo (frutas, verduras, carne, pasta, etc.)</t>
  </si>
  <si>
    <t>Nombre del ingrediente, mercadería que forma parte dentro de la preparación del platillo</t>
  </si>
  <si>
    <t>Unidad de medida mínima de venta o aquella unidad en la que el ingrediente se agrega en el platillo</t>
  </si>
  <si>
    <t>Número de unidades de medida de venta</t>
  </si>
  <si>
    <t>Costo del ingrediente en su unidad mínima de venta</t>
  </si>
  <si>
    <t>=Número de unidades x Costo por Ingrediente</t>
  </si>
  <si>
    <t>Suma total de cada costo total de los ingredientes en el platillo</t>
  </si>
  <si>
    <t>=Costo del Platillo / # de porciones</t>
  </si>
  <si>
    <t>Costo de los ingredientes % por porcion</t>
  </si>
  <si>
    <t>Margen bruto por porcion</t>
  </si>
  <si>
    <t>=Costo de la porcion / (Precio del Platillo/# de porciones)</t>
  </si>
  <si>
    <t>= (Precio del platillo / # de porciones) - Costo de la porción</t>
  </si>
  <si>
    <t>Genera un nuevo registro de platillo con los mismos ingredientes y cantidades del platillo actual</t>
  </si>
  <si>
    <t>Genera un archivo PDF del platillo</t>
  </si>
  <si>
    <t>Limpia la información de ingredientes del platillo actual</t>
  </si>
  <si>
    <t>Combo box con el listado de ingredientes pertenecientes a la categoria seleccionada</t>
  </si>
  <si>
    <t>Combo box que permite al usuario seleccionar del listado de categorías dadas de alta en el sistema</t>
  </si>
  <si>
    <t>Al presionar este botón, la línea en cuestión de la receta es limpiada</t>
  </si>
  <si>
    <t>Nota informativa que se puede agregar al platillo</t>
  </si>
  <si>
    <t>Co_01_03</t>
  </si>
  <si>
    <t>Co_03_02</t>
  </si>
  <si>
    <t>Para fines de practicidad voy a eliminar este requerimiento. El usuario puede duplicar un platillo al cual agregar los ingredientes-elementos adicionales que desee. El manejar combos agrega complejidad recursiva al sistema</t>
  </si>
  <si>
    <t>Creación de Platillo</t>
  </si>
  <si>
    <t>Co_01_01</t>
  </si>
  <si>
    <t>Consumo semanal del platillo</t>
  </si>
  <si>
    <t>Campos de captura para el ingreso de la cantidad que es consumida diariamente del platillo. El dato de captura está dado en función de porciones, el sistema calcula en la columna adyacente el monto que corresponde de preparación. El sistema sugiere al usuario la cantidad a ingresar al desplegar el promedio de consumo del platillo en el último mes</t>
  </si>
  <si>
    <t>Co_01_07</t>
  </si>
  <si>
    <t>Listado de Platillos</t>
  </si>
  <si>
    <t>Categoría:</t>
  </si>
  <si>
    <t>Platillo</t>
  </si>
  <si>
    <t>Lunes</t>
  </si>
  <si>
    <t>Martes</t>
  </si>
  <si>
    <t>Miercoles</t>
  </si>
  <si>
    <t>Jueves</t>
  </si>
  <si>
    <t>Viernes</t>
  </si>
  <si>
    <t>Sábado</t>
  </si>
  <si>
    <t>Domingo</t>
  </si>
  <si>
    <t>Total Lunes</t>
  </si>
  <si>
    <t>Total Martes</t>
  </si>
  <si>
    <t>Total Miercoles</t>
  </si>
  <si>
    <t>Total Jueves</t>
  </si>
  <si>
    <t>Total Viernes</t>
  </si>
  <si>
    <t>Total Sábado</t>
  </si>
  <si>
    <t>Total Domingo</t>
  </si>
  <si>
    <t>Crear Platillo</t>
  </si>
  <si>
    <t>Eliminar Platillo</t>
  </si>
  <si>
    <t>Categoría existente en el sistema a la cual estará asociado el platillo de esta pantalla</t>
  </si>
  <si>
    <t>Nombre del Platillo registrado en el sistema</t>
  </si>
  <si>
    <t>Campo que contendrá el número de platillos que se espera vender el día Lunes, este campo estará libre para que el usuario ingrese el número que desee. Sin embargo será cargado con el promedio de las últimos cuatro Lunes para el platillo</t>
  </si>
  <si>
    <t>Campo que contendrá el número de platillos que se espera vender el día Lunes, este campo estará libre para que el usuario ingrese el número que desee. Sin embargo será cargado con el promedio de las últimos cuatro Martes para el platillo</t>
  </si>
  <si>
    <t>Campo que contendrá el número de platillos que se espera vender el día Lunes, este campo estará libre para que el usuario ingrese el número que desee. Sin embargo será cargado con el promedio de las últimos cuatro Miercoles para el platillo</t>
  </si>
  <si>
    <t>Campo que contendrá el número de platillos que se espera vender el día Lunes, este campo estará libre para que el usuario ingrese el número que desee. Sin embargo será cargado con el promedio de las últimos cuatro Jueves para el platillo</t>
  </si>
  <si>
    <t>Campo que contendrá el número de platillos que se espera vender el día Lunes, este campo estará libre para que el usuario ingrese el número que desee. Sin embargo será cargado con el promedio de las últimos cuatro Viernes para el platillo</t>
  </si>
  <si>
    <t>Campo que contendrá el número de platillos que se espera vender el día Lunes, este campo estará libre para que el usuario ingrese el número que desee. Sin embargo será cargado con el promedio de las últimos cuatro Domingos para el platillo</t>
  </si>
  <si>
    <t>Campo que contendrá el número de platillos que se espera vender el día Lunes, este campo estará libre para que el usuario ingrese el número que desee. Sin embargo será cargado con el promedio de las últimos cuatro Sábados para el platillo</t>
  </si>
  <si>
    <t>Suma de todas las órdenes esperadas a ser consumidas el día Lunes</t>
  </si>
  <si>
    <t>Suma de todas las órdenes esperadas a ser consumidas el día Martes</t>
  </si>
  <si>
    <t>Suma de todas las órdenes esperadas a ser consumidas el día Miercoles</t>
  </si>
  <si>
    <t>Suma de todas las órdenes esperadas a ser consumidas el día Jueves</t>
  </si>
  <si>
    <t>Suma de todas las órdenes esperadas a ser consumidas el día Viernes</t>
  </si>
  <si>
    <t>Suma de todas las órdenes esperadas a ser consumidas el día Sábado</t>
  </si>
  <si>
    <t>Suma de todas las órdenes esperadas a ser consumidas el día Domingo</t>
  </si>
  <si>
    <t>Considero que añade complejidad a la aplicación que de momento no aportaría demasiado valor al producto. Considero de momento descartar esta funcionalidad. El usuario deberá ingresar sus propias conversiones</t>
  </si>
  <si>
    <t>Plantilla de Mercancías</t>
  </si>
  <si>
    <t>Caducidad (Dias)</t>
  </si>
  <si>
    <t>Notificación antes de caducidad (días)</t>
  </si>
  <si>
    <t>Unidad de compra</t>
  </si>
  <si>
    <t>Presentación</t>
  </si>
  <si>
    <t>Unidad de consumo</t>
  </si>
  <si>
    <t>Atributos de entrada al almacén (Checklist)</t>
  </si>
  <si>
    <t>Total de Mercancías</t>
  </si>
  <si>
    <t>Total de Mercancías por Categoría</t>
  </si>
  <si>
    <t>=Cuenta de todas las mercancías existentes en el catálogo</t>
  </si>
  <si>
    <t>=Cuenta de las mercancías por cada una de las categorías existentes en el catálogo</t>
  </si>
  <si>
    <t>Nombre de la mercancía</t>
  </si>
  <si>
    <t>Número de días de caducidad de la mercancía después de su fecha de ingreso al almacen</t>
  </si>
  <si>
    <t>Número de días antes de la caducidad de la mercancía en donde el sistema notificará que esta está a punto de caducar</t>
  </si>
  <si>
    <t>Campo en donde se especificará la unidad en la que la mercancía será pedida al proveedor e ingresada al almacén</t>
  </si>
  <si>
    <t>Es la conversión (especificada en forma de texto y que constituye un campo informativo) de la unidad de medida de compra a la unidad de medida en la que el producto es inventariado</t>
  </si>
  <si>
    <t>Es la conversión (especificada en forma de texto y que constituye un campo informativo) de la unidad de medida en la que el producto es inventariado a la unidad de medida de consumo en el platillo</t>
  </si>
  <si>
    <t>Campo en donde se especificará la unidad de medida mínima en la que la mercancía será consumida en los platillos</t>
  </si>
  <si>
    <t>Campo informativo en el que el usuario podrá especificar las dimensiones a calificar para evaluar la calidad del producto que ingresa al almacén</t>
  </si>
  <si>
    <t>Carga de Datos</t>
  </si>
  <si>
    <t>Mediante esta acción, el sistema realiza una carga de las mercaderías listadas en el catálogo a la base de datos para su posterior utilización en el sistema.</t>
  </si>
  <si>
    <t>Co_03_01</t>
  </si>
  <si>
    <t>Co_03_03</t>
  </si>
  <si>
    <t>Co_03_05</t>
  </si>
  <si>
    <t>Co_03_07</t>
  </si>
  <si>
    <t>Co_03_06</t>
  </si>
  <si>
    <t>Co_03_04</t>
  </si>
  <si>
    <t>Elimina la entrada del catálogo de platillos. El sistema pide confirmación antes de ejecutar la acción</t>
  </si>
  <si>
    <t>Creación de la órden</t>
  </si>
  <si>
    <t>Número de la órden</t>
  </si>
  <si>
    <t>Código interno asignado a la órden para su registro en base de datos</t>
  </si>
  <si>
    <t>Fecha actual</t>
  </si>
  <si>
    <t>Hora actual (no se actualizan los segundos sino se registra la hora hasta el momento en el que se guarda la órden)</t>
  </si>
  <si>
    <t>Categoría en la que se engloba el platillo. Por ejemplo (entremes, sopa, plato fuerte, postre, etc.)</t>
  </si>
  <si>
    <t>Nombre del platillo que forma parte de la órden</t>
  </si>
  <si>
    <t>Cantidad</t>
  </si>
  <si>
    <t>Cantidad del platillo incluído en la órden</t>
  </si>
  <si>
    <t>Precio Unitario</t>
  </si>
  <si>
    <t>Precio del platillo</t>
  </si>
  <si>
    <t>Precio Total</t>
  </si>
  <si>
    <t>=Precio Unitario x Cantidad</t>
  </si>
  <si>
    <t>Notas</t>
  </si>
  <si>
    <t>Nota informativa que se desee ingresar para la órden</t>
  </si>
  <si>
    <t>Total de la órden</t>
  </si>
  <si>
    <t>Suma de cada platillo en la órden multiplicado por la cantidad en la que fue ordenado</t>
  </si>
  <si>
    <t>Duplicar órden</t>
  </si>
  <si>
    <t>Imprimir órden</t>
  </si>
  <si>
    <t>Limpiar órden</t>
  </si>
  <si>
    <t>Seleccionar Platillo:</t>
  </si>
  <si>
    <t>Nota informativa que se puede agregar a la orden</t>
  </si>
  <si>
    <t>Combo box con el listado de platillos pertenecientes a la categoria seleccionada</t>
  </si>
  <si>
    <t>Limpia la información de platillos de la órden actual</t>
  </si>
  <si>
    <t>Genera un archivo PDF de la órden</t>
  </si>
  <si>
    <t>Genera un nuevo registro de órden con los mismos platillos y cantidades de la órden actual</t>
  </si>
  <si>
    <t>Co_02_01</t>
  </si>
  <si>
    <t>Co_02_02</t>
  </si>
  <si>
    <t>Número de órden:</t>
  </si>
  <si>
    <t>Monto Total</t>
  </si>
  <si>
    <t>Número identificador de la órden en el sistema</t>
  </si>
  <si>
    <t>Fecha de captura de la órden</t>
  </si>
  <si>
    <t>Hora de captura de la órden</t>
  </si>
  <si>
    <t>Monto total de la órden</t>
  </si>
  <si>
    <t>Estado de la órden. Por el momento se contempla (Abierta, Cerrada, Cancelada)</t>
  </si>
  <si>
    <t>Crear órden</t>
  </si>
  <si>
    <t>Cancelar órden</t>
  </si>
  <si>
    <t>Cancela la órden del listado. El sistema pide confirmación antes de ejecutar la acción</t>
  </si>
  <si>
    <t>Salva la información en la base de datos con estatus de abierta</t>
  </si>
  <si>
    <t>Cerrar órden</t>
  </si>
  <si>
    <t>Salva la información en la base de datos con estatus de cerrada. No se podrán agregar más platillos y se aplican los cambios al inventario</t>
  </si>
  <si>
    <t>Catálogo de categorías de mercancías</t>
  </si>
  <si>
    <t>Catálogo de categorías de platillos</t>
  </si>
  <si>
    <t>Co_02_03</t>
  </si>
  <si>
    <t>Catálogo de Categorías de Mercancías</t>
  </si>
  <si>
    <t>Nombre de la categoría</t>
  </si>
  <si>
    <t>Agregar Categoría</t>
  </si>
  <si>
    <t>Eliminar Categoría</t>
  </si>
  <si>
    <t>Modificar Categoría</t>
  </si>
  <si>
    <t>Agrega una nueva línea de captura de categoría de mercancías</t>
  </si>
  <si>
    <t>Elimina la categoría del sistema</t>
  </si>
  <si>
    <t>Al seleccionar el registro e ingresar otro texto, se cambia automáticamente la categoría</t>
  </si>
  <si>
    <t>Co_01_05</t>
  </si>
  <si>
    <t>Catálogo de Categorías de Platillos</t>
  </si>
  <si>
    <t>Agrega una nueva línea de captura de categoría de platillos</t>
  </si>
  <si>
    <t>Interfaz</t>
  </si>
  <si>
    <t>RN_BN</t>
  </si>
  <si>
    <t>Mapeo de Interfaces y RN_BN</t>
  </si>
  <si>
    <t>Sucursal</t>
  </si>
  <si>
    <t>Nombre de la sucursal</t>
  </si>
  <si>
    <t>Agregar Sucursal</t>
  </si>
  <si>
    <t>Eliminar Sucursal</t>
  </si>
  <si>
    <t>Modificar Sucursal</t>
  </si>
  <si>
    <t>Agrega una nueva sucursal</t>
  </si>
  <si>
    <t>Elimina la sucursal del sistema</t>
  </si>
  <si>
    <t>Al seleccionar el registro e ingresar otro texto, se cambia automáticamente la sucursal</t>
  </si>
  <si>
    <t>Catálogo de Sucursales a fín de poder ser asociados a los almacenes del restaurante</t>
  </si>
  <si>
    <t>Al_01_05</t>
  </si>
  <si>
    <t>Catálogo de Sucursales</t>
  </si>
  <si>
    <t>Nombre del almacén</t>
  </si>
  <si>
    <t>Descripcion</t>
  </si>
  <si>
    <t>Almacén</t>
  </si>
  <si>
    <t>Sucursal al que pertenece el almacén</t>
  </si>
  <si>
    <t>Descripción que se desee dar al almacén</t>
  </si>
  <si>
    <t>Agregar Almacén</t>
  </si>
  <si>
    <t>Eliminar Almacén</t>
  </si>
  <si>
    <t>Modificar Almacén</t>
  </si>
  <si>
    <t>Agrega un nuevo almacén</t>
  </si>
  <si>
    <t>Elimina el almacén del sistema</t>
  </si>
  <si>
    <t>Al seleccionar el registro e ingresar otro texto, se cambia automáticamente el nombre del almacén</t>
  </si>
  <si>
    <t>La administración  del inventario deberá considerar que un almacén consiste en uno o varias localidades. Es decir un lugar dentro del alamcén que esté claramente identificado y cuya identificación quede registrada en el sistema</t>
  </si>
  <si>
    <t>A la entrada de la mercadería al almacén, esta estará asociada a la ubicación</t>
  </si>
  <si>
    <t>Localidad de Almacenaje</t>
  </si>
  <si>
    <t>Localidad previamente dada de alta en el almacén a donde la mercancía se almacenará cuando ingrese al sistema</t>
  </si>
  <si>
    <t>Co_03_08</t>
  </si>
  <si>
    <t>Catálogo de Almacenes</t>
  </si>
  <si>
    <t>Catálogo de Localidades del Almacén</t>
  </si>
  <si>
    <t>Localidad</t>
  </si>
  <si>
    <t>Descripción que se desee dar a la localidad</t>
  </si>
  <si>
    <t>Nombre de la localidad del almacén</t>
  </si>
  <si>
    <t>Agregar Localidad</t>
  </si>
  <si>
    <t>Eliminar Localidad</t>
  </si>
  <si>
    <t>Modificar Localidad</t>
  </si>
  <si>
    <t>Agrega una nueva localidad de almacén</t>
  </si>
  <si>
    <t>Elimina la localidad del sistema</t>
  </si>
  <si>
    <t>Al seleccionar el registro e ingresar otro texto, se cambia automáticamente el nombre de la localidad</t>
  </si>
  <si>
    <t>Al_01_02</t>
  </si>
  <si>
    <t>El sistema deberá permitir la creación, edición y borrado de mercancías mediante un menú, para aquellas situaciones en donde sólo se desee trabajar con una cantidad pequeña de elementos</t>
  </si>
  <si>
    <t>El sistema deberá permitir la creación, edición y borrado de proveedores mediante un menú, para aquellas situaciones en donde sólo se desee trabajar con una cantidad pequeña de elementos</t>
  </si>
  <si>
    <t>Catálogo de mercancías</t>
  </si>
  <si>
    <t>Agregar Mercancía</t>
  </si>
  <si>
    <t>Eliminar Mercancía</t>
  </si>
  <si>
    <t>Modificar Mercancía</t>
  </si>
  <si>
    <t>Agrega una nueva mercancía al sistema</t>
  </si>
  <si>
    <t>Elimina la mercancía del sistema</t>
  </si>
  <si>
    <t>Al seleccionar el registro e ingresar otro texto, se cambia automáticamente el nombre de la mercancía</t>
  </si>
  <si>
    <t>Co_03_09</t>
  </si>
  <si>
    <t>Unidad de consumo / Presentacion</t>
  </si>
  <si>
    <t>El sistema deberá permitir la consulta de los inventarios para cada una de las mercaderías registradas en el sistema. Se deberá saber de forma informativa el nivel actual del inventario.</t>
  </si>
  <si>
    <t>En el sistema Ezchef también se considera el precio de la mercadería, contribución al total del costo, una sumarización a nivel de categoría de la mercadería. Adicionalmente se contempla un listado de los lotes que componen el nivel de inventario. Basado en el sistema EzeChef</t>
  </si>
  <si>
    <t>Consulta de Inventarios</t>
  </si>
  <si>
    <t>Ultimo precio</t>
  </si>
  <si>
    <t>Fecha Ultimo precio</t>
  </si>
  <si>
    <t>Unidad de consumo/presentación</t>
  </si>
  <si>
    <t>Lote</t>
  </si>
  <si>
    <t>Fecha Entrada</t>
  </si>
  <si>
    <t>Días para caducidad</t>
  </si>
  <si>
    <t>Precio</t>
  </si>
  <si>
    <t>Unidad de Consumo/ presentación restante</t>
  </si>
  <si>
    <t>Nombre de la mercadería</t>
  </si>
  <si>
    <t>Mas reciente precio con el que la mercadería entró al almacén</t>
  </si>
  <si>
    <t>Fecha de la última entrada de mercancía la lamacén que deberá coincidir con la fecha del último precio</t>
  </si>
  <si>
    <t>Unidad de medida mínima en la que la mercancía será consumida en los platillos</t>
  </si>
  <si>
    <t>Es la conversión (especificada en forma de texto y que constituye un campo informativo) de la unidad de medida en la que el producto es inventariado a la unidad de medida de consumo en el platillo pero que será calculada en función de lo efectivamente presente en el almacén.</t>
  </si>
  <si>
    <t>Subventana asociada a cada mercadería y que constituirá los lotes asociados con la existencia actual en el almacén. Número de lote con el que se identifica la mercadería en el almacén</t>
  </si>
  <si>
    <t>Subventana asociada a cada mercadería y que constituirá los lotes asociados con la existencia actual en el almacén. Fecha de entrada del lote en el almacén</t>
  </si>
  <si>
    <t>Subventana asociada a cada mercadería y que constituirá los lotes asociados con la existencia actual en el almacén. Días restantes para la caducidad de la mercadería</t>
  </si>
  <si>
    <t>Subventana asociada a cada mercadería y que constituirá los lotes asociados con la existencia actual en el almacén. Precio con el que el lote ingresó al almacén</t>
  </si>
  <si>
    <t>Subventana asociada a cada mercadería y que constituirá los lotes asociados con la existencia actual en el almacén. Es la conversión (especificada en forma de texto y que constituye un campo informativo) de la unidad de medida en la que el producto es inventariado a la unidad de medida de consumo en el platillo pero que será calculada en función de lo efectivamente presente en el almacén.</t>
  </si>
  <si>
    <t>Imprimir</t>
  </si>
  <si>
    <t>Realizar inventario físico</t>
  </si>
  <si>
    <t>Imprimir la consulta actual</t>
  </si>
  <si>
    <t>Localidad previamente dada de alta en el almacén a donde la mercancía se almacenará cuando ingrese al sistema. Los resultados se podrán ordenar y filtrar en función de este campo</t>
  </si>
  <si>
    <t>Almacén a donde la mercancía se almacenará cuando ingrese al sistema. Los resultados se podrán ordenar y filtrar en función de este campo</t>
  </si>
  <si>
    <t>Nombre de la mercadería. Los resultados se podrán ordenar y filtrar en función de este campo</t>
  </si>
  <si>
    <t>Al seleccionar esta opción, los campos de Presentación (unidad inventariable en almacén) serán editables para qu el usuario los modifique</t>
  </si>
  <si>
    <t># de Unidades</t>
  </si>
  <si>
    <t>Unidades calculadas por el sistema en función de las entradas y salidas del almacén.</t>
  </si>
  <si>
    <t>Unidades calculadas por el sistema en función de las entradas y salidas del almacén para el lote.</t>
  </si>
  <si>
    <t>Al_03_01</t>
  </si>
  <si>
    <t>Al_01_04</t>
  </si>
  <si>
    <t>Ultimo costo</t>
  </si>
  <si>
    <t>Fecha Ultimo costo</t>
  </si>
  <si>
    <t>Nombre del platillo. Los resultados se podrán ordenar y filtrar en función de este campo</t>
  </si>
  <si>
    <t>Unidades disponibles calculadas por el sistema en función de las entradas y salidas del almacén.</t>
  </si>
  <si>
    <t>Mas reciente costo del platillo en función del valor con el que la mercadería que lo compone entró al almacén</t>
  </si>
  <si>
    <t>Fecha del último costo del platillo en función de lo ingresado en el almacén</t>
  </si>
  <si>
    <t>Almacén a donde la mercancía se almacenará cuando ingrese al sistema.</t>
  </si>
  <si>
    <t>Localidad previamente dada de alta en el almacén a donde la mercancía se almacenará cuando ingrese al sistema.</t>
  </si>
  <si>
    <t>Categoría la mercadería. Los resultados se podrán ordenar y filtrar en función de este campo</t>
  </si>
  <si>
    <t>Categoría (Tipo de mercancía)</t>
  </si>
  <si>
    <t>Categoría de la mercancía (fruta, verdura, carne, etc. O cualquier otro nombre dado por el usuario). Esta información está contenida en base de datos y de ahí será extraída</t>
  </si>
  <si>
    <t>Categoría de la mercadería</t>
  </si>
  <si>
    <t>Categoría del platillo. Los resultados se podrán ordenar y filtrar en función de este campo</t>
  </si>
  <si>
    <t>Consulta de Inventarios de Platillos</t>
  </si>
  <si>
    <t>Al_03_03</t>
  </si>
  <si>
    <t>Parte de este requerimiento ya está siendo cubierta por otro. Adicionalmente, el especificar la unidad de medida de venta por parte del proveedor añade más captura de información al usuario y pudiera ser algo que fácilmente se pudiera sobrellevar al modificar las cantidades en la órden de compra</t>
  </si>
  <si>
    <t>Capacidad del sistema para en función del inventario actual de platillos y de la expectativa de venta dependiendo del día de la semana hacer una sugerencia de compra y de ser aprobada, generar las órdenes de compra para los proveedores.</t>
  </si>
  <si>
    <t>El sistema deberá presentar la funcionalidad de generar órdenes de compra para mercadería individual.</t>
  </si>
  <si>
    <t>Duplicado</t>
  </si>
  <si>
    <t>Dirección</t>
  </si>
  <si>
    <t>Teléfono</t>
  </si>
  <si>
    <t>Correo electrónico</t>
  </si>
  <si>
    <t>Contacto</t>
  </si>
  <si>
    <t>Días de crédito</t>
  </si>
  <si>
    <t>Agregar Proveedor</t>
  </si>
  <si>
    <t>Eliminar Proveedor</t>
  </si>
  <si>
    <t>Modificar Proveedor</t>
  </si>
  <si>
    <t>Agrega una nueva entrada de proveedor al sistema</t>
  </si>
  <si>
    <t>Elimina el proveedor del sistema</t>
  </si>
  <si>
    <t>Al seleccionar el registro e ingresar otro texto, se cambia automáticamente la información del proveedor</t>
  </si>
  <si>
    <t>Asociar Mercancía a Proveedor</t>
  </si>
  <si>
    <t>Se abre la pantalla para asociar mercadería a los proveedores.</t>
  </si>
  <si>
    <t>Categorías</t>
  </si>
  <si>
    <t>Mover un elemento</t>
  </si>
  <si>
    <t>Mover todos los elementos</t>
  </si>
  <si>
    <t>Mercancías actualmente asociadas con el proveedor</t>
  </si>
  <si>
    <t>Categorías de la mercancías registradas en el sistema</t>
  </si>
  <si>
    <t>Mercancías actualmente no asociadas con el proveedor</t>
  </si>
  <si>
    <t>Mercancías</t>
  </si>
  <si>
    <t>Mueve de una a otra casilla de Mercancías, sólo aquella que ha sido seleccionada</t>
  </si>
  <si>
    <t>Mueve de una a otra casilla de Mercancías, todas las mercancías pertenecientes a la categoría actualmente seleccionada</t>
  </si>
  <si>
    <t>Guarda las mercancías asociadas o disasociadas del proveedor</t>
  </si>
  <si>
    <t>Pe_01_01</t>
  </si>
  <si>
    <t>Pe_01_05</t>
  </si>
  <si>
    <t>Pe_01_02</t>
  </si>
  <si>
    <t>Catálogo de Proveedores</t>
  </si>
  <si>
    <t>Asociación de Proveedores a Mercancías</t>
  </si>
  <si>
    <t># de Unidades requeridas para la semana</t>
  </si>
  <si>
    <t>Genera órdenes de compra para adquirir la mercancía necesaria a fin de satisfacer la diferencia entre las unidades actuales y las requeridas para la semana. Dichas órdenes de compra aunque elaboradas no están aún generadas con un estatus aplicado sino pendiente de revisión.</t>
  </si>
  <si>
    <t>Pe_02_01</t>
  </si>
  <si>
    <t>Tiempo surtido</t>
  </si>
  <si>
    <t>Días promedio que el proveedor toma en surtir la órden. Si bien este es un número que puede ser ingresado por el usuario, también existe la posibilidad que se calcule en función de los últimos X pedidos hechos al proveedor contando desde la fecha de aplicación de la órden hasta el día en que se dío entrada al almacén de esta órden.</t>
  </si>
  <si>
    <t>Pe_02_02</t>
  </si>
  <si>
    <t>Pe_02_04</t>
  </si>
  <si>
    <t>Creación de la órden de compra</t>
  </si>
  <si>
    <t>Categoría en la que se engloba la mercadería. Por ejemplo (frutas, verduras, carnes, pescados, etc.)</t>
  </si>
  <si>
    <t>Mercancía</t>
  </si>
  <si>
    <t>Nombre de la mercancía que forma parte de la órden de compra</t>
  </si>
  <si>
    <t>Cantidad de la mercancía incluída en la órden</t>
  </si>
  <si>
    <t>Proveedor</t>
  </si>
  <si>
    <t>Nombre del proveedor seleccionado</t>
  </si>
  <si>
    <t>Último Precio de la mercancía</t>
  </si>
  <si>
    <t>Suma de cada mercancía en la órden multiplicada por la cantidad en la que fue ordenado</t>
  </si>
  <si>
    <t>Genera un nuevo registro de órden con los mismas mercancías y cantidades de la órden actual</t>
  </si>
  <si>
    <t>Limpia la información de mercancías de la órden actual</t>
  </si>
  <si>
    <t>Combo box con el listado de mercancías pertenecientes a la categoria seleccionada</t>
  </si>
  <si>
    <t>Al presionar este botón, la línea en cuestión de la órden es limpiada</t>
  </si>
  <si>
    <t>Salva la información en la base de datos con estatus de cerrada. No se podrán agregar más mercancías.</t>
  </si>
  <si>
    <t>Listado de órdenes de compra</t>
  </si>
  <si>
    <t>Tiempo Surtido</t>
  </si>
  <si>
    <t>Número de días en promedio que tomaría a la orden ser completada. Este numero se calculará según el tiempo de surtido más largo de los proveedores seleccionados en la órden de compra</t>
  </si>
  <si>
    <t>Seleccionar Mercancías:</t>
  </si>
  <si>
    <t>Eliminar entrada</t>
  </si>
  <si>
    <t>Flujos de Negocio</t>
  </si>
  <si>
    <t>Validaciones de la Interfaz</t>
  </si>
  <si>
    <t>Reglas de Negocio para el flujo</t>
  </si>
  <si>
    <t>Reglas de Negocio para el proceso</t>
  </si>
  <si>
    <t>Reglas de Negocio para la entidad</t>
  </si>
  <si>
    <t>Acciones sobre Entidades</t>
  </si>
  <si>
    <t>Actor</t>
  </si>
  <si>
    <t>+</t>
  </si>
  <si>
    <t>Re_01_01</t>
  </si>
  <si>
    <t>Listado de órdenes de recepción</t>
  </si>
  <si>
    <t>Número de órden</t>
  </si>
  <si>
    <t>Entrar a la órden</t>
  </si>
  <si>
    <t>Nombre del proveedor. Este será un campo sobre el que se podrá aplicar algún filtro y ordenamiento</t>
  </si>
  <si>
    <t>Número de mercaderías solicitadas en la órden al proveedor</t>
  </si>
  <si>
    <t>Número de la órden de compra asociada al proveedor</t>
  </si>
  <si>
    <t>Fecha de creación de la órden de compra</t>
  </si>
  <si>
    <t>Hora de creación de la órden de compra</t>
  </si>
  <si>
    <t>Monto total de todas las órdenes al proveedor</t>
  </si>
  <si>
    <t>Estatus de la órden de compra</t>
  </si>
  <si>
    <t>Redireccional al usuario a entrar a la órden de compra para el proveedor en donde se puede dar entrada a las mercancías</t>
  </si>
  <si>
    <t>órden de recepción</t>
  </si>
  <si>
    <t>Número de la órden de compra</t>
  </si>
  <si>
    <t>Fecha de la orden de compra</t>
  </si>
  <si>
    <t>Hora de la orden de compra</t>
  </si>
  <si>
    <t>Cantidad Solicitada</t>
  </si>
  <si>
    <t>Cantidad Recibida</t>
  </si>
  <si>
    <t>Cantidad de la mercancía recibida. Campo de captura</t>
  </si>
  <si>
    <t>Diferencia</t>
  </si>
  <si>
    <t>Diferencia entre la cantidad recibida y la solicitada</t>
  </si>
  <si>
    <t>Unidad de Compra</t>
  </si>
  <si>
    <t>Unidad de compra de la mercancía</t>
  </si>
  <si>
    <t>Precio Recbido</t>
  </si>
  <si>
    <t>Precio en el que se recibió la mercancía</t>
  </si>
  <si>
    <t>=Precio Recibido x Cantidad</t>
  </si>
  <si>
    <t>Suma de cada mercancía en la órden multiplicada por la cantidad en la que fue recibido</t>
  </si>
  <si>
    <t>Salva la información en la base de datos con estatus de cerrada. Previamente se solicitará dar ingreso de las mercancías al almacén caso contrario no se podrá hacer o se cerrará con un estatus de no completada</t>
  </si>
  <si>
    <t>Entrada a almacén</t>
  </si>
  <si>
    <t>Número de lote</t>
  </si>
  <si>
    <t>Número automáticamente generado del lote en el almacén</t>
  </si>
  <si>
    <t>Fecha del ingreso</t>
  </si>
  <si>
    <t>Hora del ingreso</t>
  </si>
  <si>
    <t>Cantidad Ingresada</t>
  </si>
  <si>
    <t>Cantidad de la mercancía ingresada. Campo de captura o previamiente lleno con la información de la órden de recepción</t>
  </si>
  <si>
    <t>Almacén de entrada</t>
  </si>
  <si>
    <t>Ingresar mercancías</t>
  </si>
  <si>
    <t>Salva la información en la base de datos. Solicitando autorización para proseguir</t>
  </si>
  <si>
    <t>Re_01_04</t>
  </si>
  <si>
    <t>Re_01_05</t>
  </si>
  <si>
    <t>Re_01_02</t>
  </si>
  <si>
    <t>Re_01_03</t>
  </si>
  <si>
    <t>Re_01_06</t>
  </si>
  <si>
    <t>Re_01_08</t>
  </si>
  <si>
    <t>Re_02_01</t>
  </si>
  <si>
    <t>Re_01_07</t>
  </si>
  <si>
    <t>Co_02_04</t>
  </si>
  <si>
    <t>ES_01_02</t>
  </si>
  <si>
    <t>ES_01_01</t>
  </si>
  <si>
    <t>Salida del almacén</t>
  </si>
  <si>
    <t>Salida mercancías</t>
  </si>
  <si>
    <t>Cantidad Salida</t>
  </si>
  <si>
    <t>Unidad de Almacenamiento</t>
  </si>
  <si>
    <t>Unidad de almacenamiento de la mercancía</t>
  </si>
  <si>
    <t>Almacén de salida</t>
  </si>
  <si>
    <t>Precio Último</t>
  </si>
  <si>
    <t>Último precio de la mercancía en el almacén</t>
  </si>
  <si>
    <t>UI_01_Co_01</t>
  </si>
  <si>
    <t>UI_02_Co_01</t>
  </si>
  <si>
    <t>Pla_01_Co_03</t>
  </si>
  <si>
    <t>UI_01_Co_02</t>
  </si>
  <si>
    <t>UI_02_Co_02</t>
  </si>
  <si>
    <t>UI_02_Co_03</t>
  </si>
  <si>
    <t>UI_03_Co_01</t>
  </si>
  <si>
    <t>UI_01_Al_01</t>
  </si>
  <si>
    <t>UI_02_Al_01</t>
  </si>
  <si>
    <t>UI_03_Al_01</t>
  </si>
  <si>
    <t>UI_03_Co_03</t>
  </si>
  <si>
    <t>UI_01_Al_02</t>
  </si>
  <si>
    <t>UI_01_Al_03</t>
  </si>
  <si>
    <t>UI_01_Pe_01</t>
  </si>
  <si>
    <t>UI_02_Pe_01</t>
  </si>
  <si>
    <t>UI_01_Pe_02</t>
  </si>
  <si>
    <t>UI_02_Pe_02</t>
  </si>
  <si>
    <t>UI_01_Re_01</t>
  </si>
  <si>
    <t>UI_02_Re_01</t>
  </si>
  <si>
    <t>UI_03_Re_01</t>
  </si>
  <si>
    <t>UI_01_ES_01</t>
  </si>
  <si>
    <t>Total Solicitado Ordenes</t>
  </si>
  <si>
    <t>Total Ingresado Ordenes</t>
  </si>
  <si>
    <t>Cantidad Pagada</t>
  </si>
  <si>
    <t>Cantidad a Pagar</t>
  </si>
  <si>
    <t>Monto de los pagos hechos al proveedor de las órdenes actualmente abiertas</t>
  </si>
  <si>
    <t>Monto de los adeudos al proveedor de las órdenes actualmente abiertas</t>
  </si>
  <si>
    <t>Monto Total Orden</t>
  </si>
  <si>
    <t>Monto Total Ingresado</t>
  </si>
  <si>
    <t>Monto total de la órden del proveedor</t>
  </si>
  <si>
    <t>Monto total de lo ingresado de la órden del proveedor</t>
  </si>
  <si>
    <t>Pa_01_01</t>
  </si>
  <si>
    <t>Órden de Pago</t>
  </si>
  <si>
    <t>Fecha Límite de pago</t>
  </si>
  <si>
    <t>Precio Recibido</t>
  </si>
  <si>
    <t>Caducidad Estimada</t>
  </si>
  <si>
    <t>Precio en el que la mercancía ingresa al almacén</t>
  </si>
  <si>
    <t>Fecha de caducidad estimada en función de la fecha de ingreso al almacén</t>
  </si>
  <si>
    <t>Monto Ingresado</t>
  </si>
  <si>
    <t>Monto Salida</t>
  </si>
  <si>
    <t>=Cantidad Salida x Precio Ultimo</t>
  </si>
  <si>
    <t>Imprimir Orden de Pago</t>
  </si>
  <si>
    <t>Genera PDF de la orden de pago por el monto de lo seleccionado</t>
  </si>
  <si>
    <t>Número de unidades ingresadas</t>
  </si>
  <si>
    <t>Fecha de ingreso</t>
  </si>
  <si>
    <t>=Cantidad Entrada x Precio Ultimo</t>
  </si>
  <si>
    <t>Fecha de Ingreso + Dias de credito del proveedor</t>
  </si>
  <si>
    <t>Entidad</t>
  </si>
  <si>
    <t>Categoría de Platillos</t>
  </si>
  <si>
    <t>Ingrediente/Mercancía</t>
  </si>
  <si>
    <t>Categoría de Mercancías</t>
  </si>
  <si>
    <t>Orden Comanda</t>
  </si>
  <si>
    <t>Salida de Almacén</t>
  </si>
  <si>
    <t>Orden de Compra</t>
  </si>
  <si>
    <t>Orden de Pago</t>
  </si>
  <si>
    <t>Entrada a Almacen</t>
  </si>
  <si>
    <t>Orden de Recepcion</t>
  </si>
  <si>
    <t>Ingresar # de platillos a consumir por día</t>
  </si>
  <si>
    <t>Guardar Platillo</t>
  </si>
  <si>
    <t>Ingresa el número de platillos promedio que se consumen por día de la semana</t>
  </si>
  <si>
    <t>Guardar Información de la Orden</t>
  </si>
  <si>
    <t>Guardar asociación de mercancía con proveedor</t>
  </si>
  <si>
    <t>Imprimir consulta de inventario</t>
  </si>
  <si>
    <t>Generar órdenes de compra automáticas</t>
  </si>
  <si>
    <t>Guardar órden</t>
  </si>
  <si>
    <t>Marcar Entrada como Pagada</t>
  </si>
  <si>
    <t>UI_01_Pa_01</t>
  </si>
  <si>
    <t>Consultar Platillo</t>
  </si>
  <si>
    <t>Consulta de platillo</t>
  </si>
  <si>
    <t>Consultar Mercancía</t>
  </si>
  <si>
    <t>Listado de Mercancías</t>
  </si>
  <si>
    <t>Consulta de órdenes</t>
  </si>
  <si>
    <t>Consultar órden</t>
  </si>
  <si>
    <t>Administrador</t>
  </si>
  <si>
    <t>Mostrador</t>
  </si>
  <si>
    <t>Comprador</t>
  </si>
  <si>
    <t>Consulta de categorías</t>
  </si>
  <si>
    <t>Listado de categorías</t>
  </si>
  <si>
    <t>Consulta de sucursales</t>
  </si>
  <si>
    <t>Listado de sucursales</t>
  </si>
  <si>
    <t>Consulta de almacenes</t>
  </si>
  <si>
    <t>Listado de almacenes</t>
  </si>
  <si>
    <t>Consulta de localidades</t>
  </si>
  <si>
    <t>Listado de localidades</t>
  </si>
  <si>
    <t>Consulta de inventarios</t>
  </si>
  <si>
    <t>Listado de inventarios</t>
  </si>
  <si>
    <t>Consulta de inventarios de platillos</t>
  </si>
  <si>
    <t>Listado de inventarios de platillos</t>
  </si>
  <si>
    <t>Consulta de proveedores</t>
  </si>
  <si>
    <t>Listado de proveedores</t>
  </si>
  <si>
    <t>Consultar órden de recepción</t>
  </si>
  <si>
    <t>Responsible de la creación de catálogos, carga de datos y modificación de infiormación sensible</t>
  </si>
  <si>
    <t>CXP</t>
  </si>
  <si>
    <t>Recibe mercancía, realiza inventarios físicos, consulta entradas y salidas. Realiza entradas y salidas. Consulta niveles de inventario</t>
  </si>
  <si>
    <t>Realiza pedimientos de mercancía, administra cierta información de proveedores como su tiempo de surtido y días de crédito</t>
  </si>
  <si>
    <t>Administra las órdenes de pago de proveedores en función de las entradas al almacén</t>
  </si>
  <si>
    <t>Abre y cierra órdenes.</t>
  </si>
  <si>
    <t>Caso de Uso de Sistema</t>
  </si>
  <si>
    <t>Capa a nivel interfaz</t>
  </si>
  <si>
    <t>Negocio</t>
  </si>
  <si>
    <t>Capa que involucra a objetos de negocio, entidades, flujos</t>
  </si>
  <si>
    <t>Capa en la que actúa</t>
  </si>
  <si>
    <t>Tipo de interacción</t>
  </si>
  <si>
    <t>Consulta de registro</t>
  </si>
  <si>
    <t>Modificación de registro</t>
  </si>
  <si>
    <t>Creación de registro</t>
  </si>
  <si>
    <t>Modificación de estatus de registro</t>
  </si>
  <si>
    <t>Creación de registro,  Modificación de registro, Eliminación de registro</t>
  </si>
  <si>
    <t>Flujo de trabajo</t>
  </si>
  <si>
    <t>Generación de PDF</t>
  </si>
  <si>
    <t>Eliminar registros de la pantalla</t>
  </si>
  <si>
    <t>Llamado a nueva ventana</t>
  </si>
  <si>
    <t>Nueva pantalla con datos precargados</t>
  </si>
  <si>
    <t>Mover elementos entre secciones de la pantalla</t>
  </si>
  <si>
    <t>Eliminación de registro</t>
  </si>
  <si>
    <t>No aplica</t>
  </si>
  <si>
    <t>1. Se asegurará que no existan entidades hijas con un estatus activo que estén relacionadas con el registro en cuestión.
2. El registro en cuestión cambiará su estatus a inactivo</t>
  </si>
  <si>
    <t>1. Se asegurará previamente que no exista un registro con el mismo nombre (ya sea activo o inactivo)
2. El nombre quedará limitado por la longitud de su campo sin espacios ni caractéres especiales</t>
  </si>
  <si>
    <t>1. Se realizará recibiendo como parámetros el registro padre al que pertenece
2. Se devolverán únicamente aquellos registros con el estatus previamente seleccionados por la consulta.
3. Las consultas que soliciten registros con estatus activo no requieren una delimitación por fechas mientras las que soliciten otros estatus si lo requrirán</t>
  </si>
  <si>
    <t>1. Se devolverán únicamente aquellos registros con el estatus previamente seleccionados por la consulta.
2. Las consultas que soliciten registros con estatus activo no requieren una delimitación por fechas mientras las que soliciten otros estatus si lo requrirán</t>
  </si>
  <si>
    <t>1. Se devolverán únicamente aquellos registros con el estatus previamente seleccionados por la consulta.
3. Las consultas que soliciten registros con estatus activo no requieren una delimitación por fechas mientras las que soliciten otros estatus si lo requrirán</t>
  </si>
  <si>
    <t>Entidades Relacionadas</t>
  </si>
  <si>
    <t>Estatus</t>
  </si>
  <si>
    <t>1. Se realizará con la previa selección del registro padre al que pertenecerá
2. Se asegurará previamente que no exista un registro con el mismo nombre (ya sea activo o inactivo)
3. El nombre quedará limitado por la longitud de su campo sin espacios ni caractéres especiales
4. Automáticamente el registro se creará con un estatus activo</t>
  </si>
  <si>
    <t>1. Se asegurará previamente que no exista un registro con el mismo nombre (ya sea activo o inactivo)
2. El nombre quedará limitado por la longitud de su campo sin espacios ni caractéres especiales
3. Automáticamente el registro se creará con un estatus activo</t>
  </si>
  <si>
    <t>1. Se realizará con la previa selección del registro padre al que pertenecerá
2. Se asegurará previamente que no exista un registro con el mismo nombre (ya sea activo o inactivo)
3. El nombre quedará limitado por la longitud de su campo con espacios y sin caractéres especiales
4. Automáticamente el registro se creará con un estatus activo</t>
  </si>
  <si>
    <t>1. Se asegurará previamente que no exista un registro con el mismo nombre (ya sea activo o inactivo)
3. El nombre quedará limitado por la longitud de su campo con espacios y sin caractéres especiales
4. Automáticamente el registro se creará con un estatus activo</t>
  </si>
  <si>
    <t>Regla de Negocio para Entidades</t>
  </si>
  <si>
    <t>Para campo de notas sin restricción por el momento</t>
  </si>
  <si>
    <t>1. Aplica para la relación entre el proveedor y sus mercancías debido a que no se desea conservar registro histórico de la relación. Después de aplicada la transacción se borrarán todos los registros y se substiturián por los recientemente asignados.</t>
  </si>
  <si>
    <t>1. Para campo de notas sin restricción por el momento</t>
  </si>
  <si>
    <t>Aplica a</t>
  </si>
  <si>
    <t>Registro</t>
  </si>
  <si>
    <t>Campo</t>
  </si>
  <si>
    <t>Configuración</t>
  </si>
  <si>
    <t>Paso</t>
  </si>
  <si>
    <t>1. Abierta
2. Cerrada
3. Cancelada</t>
  </si>
  <si>
    <t>Orden de Recepción</t>
  </si>
  <si>
    <t>1. Abierta
2. Parcialmente Completada
3. Completada
3. Cancelada</t>
  </si>
  <si>
    <t>Quizás no aplique la funcionalidad de especificar nuevo almacenaje debido a su complejidad. Como regla de negocio puedo dejar especificado que la disminución de inventario queda como en proceso o no aplicada totalmente hasta que el producto sea agregue a una orden y esta quede cerrada sin emabrgo será posible consultar un listado de los platillos preparados pero en stock</t>
  </si>
  <si>
    <t>Considero necesario manejar esta funcionalidad debido a que de no hacerlo, quedaría incompleto el ciclo del cierre de órden</t>
  </si>
  <si>
    <t>Funcionalidad que facilitará la captura de las órdenes.</t>
  </si>
  <si>
    <t>Definitivamente se necesita una manera de registrar bebidas en el bar.  Precio por copa y por botella</t>
  </si>
  <si>
    <t>Pendiente de Investigar atributos que se debend tomar en cuenta</t>
  </si>
  <si>
    <t>Propiedad de un platillo de pertenecer a otro platillo, es decir. Si existe alguna preparacion que pertenece a determinado platillo, el sistema tendrá la capacidad de categorizarlo como una preparación.</t>
  </si>
  <si>
    <t>Este requerimiento aplica en el caso de un platillo por ejemplo que conste de un corte de carne y una ensalada que lo acompañe. Esta ensalada no puede ser considerada como un ingrediente sino como un platillo que se agrega al principal</t>
  </si>
  <si>
    <t>Asociado a cada platillo o bebida deberá existir la facilidad de asociar el área de preparación. Es decir existirán platillos que se preparen en una area de la cocina destinada especificamente a alimentos calientes o frios. Esto aplica tambien para el bar, una órden podrá emitir solicitudes al barman para que atienda la bebida que fue solicitada en la orden</t>
  </si>
  <si>
    <t>Contabilidad</t>
  </si>
  <si>
    <t>Cli</t>
  </si>
  <si>
    <t>Con</t>
  </si>
  <si>
    <t>1. Por el momento sólo se considera la necesidad de registrar clientes para propósitos de la emisión de facturas y para tener registro de aquellos clientes que consumen en el restaurante pero manejan una cuenta abierta</t>
  </si>
  <si>
    <t>1. Se considera la necesidad de manejar las operaciones del restaurante por medio de asientos contables Operaciones de entrada y salida de mercancías , pago a proveedores, pago de clientes, etc.</t>
  </si>
  <si>
    <t>Administración de Clientes</t>
  </si>
  <si>
    <t>Administración de Cuentas contables</t>
  </si>
  <si>
    <t>Cli_01</t>
  </si>
  <si>
    <t>Con_01</t>
  </si>
  <si>
    <t>Capacidad del sistema para poder asignar a distintos flujos de la aplicación un movimiento contable sobre el que se generarán reportes. Cuenta principal y subcuenta</t>
  </si>
  <si>
    <t>En la aplicación debería poder especificarse el consumo promedio por día de la semana lo que eventualmente apoyaría al pedimento de mercancías.
Idealmente este cálculo podría sugerirse en función de semanas, meses o años anteriores.</t>
  </si>
  <si>
    <t>Asociada a cada orden, deberá estar la mesa que se está sirviendo, el mesero y el número de comensales</t>
  </si>
  <si>
    <t>Facilidad para poder reflejar en la órden el monto que corresponde al pago de impuestos. Esto a su vez requiere que exista una manera de configurar la tasa que aplica y hacer una distinción ya sea que se trate de bebidas alcohlicas, sin alcohol o alimentos en general</t>
  </si>
  <si>
    <t>Notas asociadas a cada platillo de la orden al momento en que esta se toma. Como se debe cocinar la carne, eleccion de vegetales, etc.</t>
  </si>
  <si>
    <t>Propiedad del sistema para manejar platillos sin necesidad de asociar las mercancías correspondientes. Esto es para aquellos platillos que por su bajo costo resultan demasiado nivel de control y el usuario administrador prefiere no contabilizar.</t>
  </si>
  <si>
    <t>Tipo de Requerimiento</t>
  </si>
  <si>
    <t>Avanzado</t>
  </si>
  <si>
    <t>Característica</t>
  </si>
  <si>
    <t>Esencial</t>
  </si>
  <si>
    <t>Funcionalidad Gráfica</t>
  </si>
  <si>
    <t>Intermedia</t>
  </si>
  <si>
    <t>Co_01_06</t>
  </si>
  <si>
    <t>Co_02_08</t>
  </si>
  <si>
    <t>Consulta de los platillos requeridos en cocina según la solicitud de la comanda. Tendrá que retomar esta funcionalidad debido a que a fin de aplicar controles internos y facilitar la automatización de los procesos, la cocina y el bar necesitar poder consultar que es lo que se les ha ordenado. Esto implica la necesidad de crear entidades tales como la órden de cocina y orden de bar.</t>
  </si>
  <si>
    <t>Co_02_05</t>
  </si>
  <si>
    <t>Órden de Cocina-Bar</t>
  </si>
  <si>
    <t>Tiempo Transcurrido</t>
  </si>
  <si>
    <t>Consultar Detalle</t>
  </si>
  <si>
    <t>Número de la orden de Cocina - Bar</t>
  </si>
  <si>
    <t>Número de la orden de Comanda a la que pertenece</t>
  </si>
  <si>
    <t>Fecha de la orden</t>
  </si>
  <si>
    <t>Hora de la orden</t>
  </si>
  <si>
    <t>Tiempo transcurrido entre la fecha y hora en la que se genero la orden y la fecha y hora actual</t>
  </si>
  <si>
    <t>Estatus en la que se encuentra la orden</t>
  </si>
  <si>
    <t>Revisar el detalle de la orden para poder surtirla</t>
  </si>
  <si>
    <t>Platillo / Bebida</t>
  </si>
  <si>
    <t>Categoría del Platillo o Bebida</t>
  </si>
  <si>
    <t>Nombre del platillo o bebida</t>
  </si>
  <si>
    <t>Cantidad en la que fue requerido por la orden de comanda</t>
  </si>
  <si>
    <t>Comentarios especiales hechos a cada item de la comanda</t>
  </si>
  <si>
    <t>Completar Orden</t>
  </si>
  <si>
    <t>Cerrar orden y marcarla disponible para poder ser recogida por el mesero</t>
  </si>
  <si>
    <t>Tipo de órden</t>
  </si>
  <si>
    <t>Interna / Para Venta</t>
  </si>
  <si>
    <t>Co_01_12</t>
  </si>
  <si>
    <t>Co_02_14</t>
  </si>
  <si>
    <t>Mesa</t>
  </si>
  <si>
    <t>Mesero</t>
  </si>
  <si>
    <t># Comensales</t>
  </si>
  <si>
    <t>Clave identificadora de la Mesa, esta información tendrá que ser contenida en un catálogo</t>
  </si>
  <si>
    <t>Nombre del mesero que está atendiendo la órden</t>
  </si>
  <si>
    <t>Número de comensales sentados en la mesa</t>
  </si>
  <si>
    <t>Nota del platillo</t>
  </si>
  <si>
    <t>Nota especial a ser capturada con respecto a la preparación del platillo</t>
  </si>
  <si>
    <t>Al_01_5</t>
  </si>
  <si>
    <t>Cli_01_1</t>
  </si>
  <si>
    <t>Co_01_04</t>
  </si>
  <si>
    <t>Co_01_09</t>
  </si>
  <si>
    <t>Co_01_10</t>
  </si>
  <si>
    <t>Co_01_11</t>
  </si>
  <si>
    <t>Co_02_06</t>
  </si>
  <si>
    <t>Co_02_07</t>
  </si>
  <si>
    <t>Co_02_09</t>
  </si>
  <si>
    <t>Co_02_10</t>
  </si>
  <si>
    <t>Co_02_11</t>
  </si>
  <si>
    <t>Co_02_13</t>
  </si>
  <si>
    <t>Con_01_1</t>
  </si>
  <si>
    <t>Rep_01_01</t>
  </si>
  <si>
    <t>Rep_01_02</t>
  </si>
  <si>
    <t>Rep_01_03</t>
  </si>
  <si>
    <t>Rep_01_04</t>
  </si>
  <si>
    <t>Rep_02_01</t>
  </si>
  <si>
    <t>Rep_02_02</t>
  </si>
  <si>
    <t>Rep_03_03</t>
  </si>
  <si>
    <t>Rep_03_04</t>
  </si>
  <si>
    <t>Rep_04_01</t>
  </si>
  <si>
    <t>Rep_05_01</t>
  </si>
  <si>
    <t>Vlookup</t>
  </si>
  <si>
    <t>Area de preparación</t>
  </si>
  <si>
    <t>Combo de selección de la area de preparación de cada platillo</t>
  </si>
  <si>
    <t>Salva la información en la base de datos. Para el caso de que no se hayan asociado mercancías al platillo, el sistema validará y en caso de que se confirme la solicitud se guardará un platillo que no contiene mercancías asociadas. El sistema también preguntará si es que se desea que el platillo sea inventariable o no. En caso de que lo sea será necesario que ingrese al almacén por medio de una orden de compra tal y como si se tratara de una mercaderia sin embargo su unidad de medida de compra y consumo será la misma.</t>
  </si>
  <si>
    <t>Ingrediente / Platillo</t>
  </si>
  <si>
    <t>Radio button de selección entre Ingrediente o Platillo</t>
  </si>
  <si>
    <t>Mediante esta opción el usuario podrá seleccionar si la fuente de elementos del platillo son ingredientes u otros platillos (no se pueden mezclar platillos e ingredientes dentro de un mismo platillo). El combo de Categoría e Ingrediente/Platillo se llenará según la opción que se haya seleccionado en este punto</t>
  </si>
  <si>
    <t>Catálogo de meseros</t>
  </si>
  <si>
    <t>Catálogo de áreas de preparación</t>
  </si>
  <si>
    <t>Co_01_08</t>
  </si>
  <si>
    <t>Co_02_12</t>
  </si>
  <si>
    <t>Creación del ticket</t>
  </si>
  <si>
    <t>Número del ticket</t>
  </si>
  <si>
    <t>Cerrar ticket</t>
  </si>
  <si>
    <t>Salva la información en la base de datos con estatus de cerrada. El cierre del ticket está asociado con un pago registrado por el cliente</t>
  </si>
  <si>
    <t>Propina</t>
  </si>
  <si>
    <t>Impuestos</t>
  </si>
  <si>
    <t>Monto correspondiente al pago de propina por el servicio</t>
  </si>
  <si>
    <t>Monto correspondiente al pago de impuestos por el tipo de elemento en el ticket (alimento preparado, bebida alcoholica)</t>
  </si>
  <si>
    <t>UI_03_Co_02</t>
  </si>
  <si>
    <t>UI_04_Co_02</t>
  </si>
  <si>
    <t>UI_05_Co_02</t>
  </si>
  <si>
    <t>Listado de Órden de Cocina-Bar</t>
  </si>
  <si>
    <t>Detalle de Órden de Cocina-Bar</t>
  </si>
  <si>
    <t>Catálogo de Areas de Preparación</t>
  </si>
  <si>
    <t>Catálogo de Meseros</t>
  </si>
  <si>
    <t xml:space="preserve">Nombre </t>
  </si>
  <si>
    <t>Agregar Area</t>
  </si>
  <si>
    <t>Eliminar Area</t>
  </si>
  <si>
    <t>Modificar Area</t>
  </si>
  <si>
    <t>Consulta de area</t>
  </si>
  <si>
    <t>Listado de areas</t>
  </si>
  <si>
    <t>Agrega una nueva línea de captura de categoría de areas</t>
  </si>
  <si>
    <t>Agregar Mesero</t>
  </si>
  <si>
    <t>Eliminar Mesero</t>
  </si>
  <si>
    <t>Modificar Mesero</t>
  </si>
  <si>
    <t>Consulta de meseros</t>
  </si>
  <si>
    <t>Listado de meseros</t>
  </si>
  <si>
    <t>Al seleccionar el registro e ingresar otro texto, se cambia automáticamente el mesero</t>
  </si>
  <si>
    <t>Al seleccionar el registro e ingresar otro texto, se cambia automáticamente el area</t>
  </si>
  <si>
    <t>Elimina el mesero</t>
  </si>
  <si>
    <t>Agrega una nueva línea de captura de categoría de meseros</t>
  </si>
  <si>
    <t>Recepción de Facturas</t>
  </si>
  <si>
    <t>Revisión de Facturas</t>
  </si>
  <si>
    <t>Recepción de Notas de Crédito</t>
  </si>
  <si>
    <t>Facturación Electrónica para Clientes</t>
  </si>
  <si>
    <t>Administración de Caja</t>
  </si>
  <si>
    <t>Inventarios</t>
  </si>
  <si>
    <t>Cuentas por Pagar</t>
  </si>
  <si>
    <t>Órdenes de Compra y Proveedores</t>
  </si>
  <si>
    <t>OCP</t>
  </si>
  <si>
    <t>Com</t>
  </si>
  <si>
    <t>Clientes y Cuentas por Cobrar</t>
  </si>
  <si>
    <t>Mov</t>
  </si>
  <si>
    <t>Movimientos del almacén</t>
  </si>
  <si>
    <t>Administración de Catálogos y Registros Maestros</t>
  </si>
  <si>
    <t>Tomas de órdenes y Comandas</t>
  </si>
  <si>
    <t>Recepción de Mercancías al Almacén</t>
  </si>
  <si>
    <t>Rec</t>
  </si>
  <si>
    <t>Inv</t>
  </si>
  <si>
    <t>CxP</t>
  </si>
  <si>
    <t>Mas</t>
  </si>
  <si>
    <t>1. Se engloba bajo este concepto toda la funcionalidad de administración de catálogos divididos por área funcional así como la funcionalidad de alta de registros maestros en el sistema</t>
  </si>
  <si>
    <t>Caj</t>
  </si>
  <si>
    <t>1. Bajo este modulo se concentra la funcionalidad de captación y administración de recursos en el restaurante. Ingresos que desde luego entran por concepto de ventas pero también lo relacionado a las salidas hasta este momento por la emisión de pagos a proveedores</t>
  </si>
  <si>
    <t>Cajas y Bancos</t>
  </si>
  <si>
    <t>Manejo de Notas de Venta - Tickets</t>
  </si>
  <si>
    <t>Cli_03</t>
  </si>
  <si>
    <t>Descuentos para clientes. Manejar un descuento especial en la órden para los clientes. Este proceso demanda autorización para poder llevarse a cabo</t>
  </si>
  <si>
    <t>El sistema deberá soportar la funcionalidad de dividir la órden en varias notas de venta para su pago individual por parte de los clientes (dividir cuenta)</t>
  </si>
  <si>
    <t>Dentro de la información asociada a cada cliente, considerar dirección para aquellos casos de que se esté haciendo envío a domicilio</t>
  </si>
  <si>
    <t>Facilidad del sistema de generar una factura fiscal a partir de una o varios tickets.</t>
  </si>
  <si>
    <t>Cli_02</t>
  </si>
  <si>
    <t>Documento de comanda podrá ser imprimible o no dependiendo de si fue configurado que las órdenes a cocina o bar fueran a ser recibidas por ese medio.</t>
  </si>
  <si>
    <t>Se podrá realizar una consulta de comandas de comedor, ordenes de bar y ordenes de cocina con sus estatus relacionados</t>
  </si>
  <si>
    <t>Funcionalidad de modificación masiva de precios de platillos, esto se deberá filtrar a nivel categoría y a nivel registro maestro, es decir ya sea que sólo aplique para los platillos o bebidas.</t>
  </si>
  <si>
    <t>Mas_01</t>
  </si>
  <si>
    <t>Considerar que la captura de órdenes de comedor será a través de un touchscreen por lo que el UI de esta funcionalidad tendrá que ser planeada de forma acorde</t>
  </si>
  <si>
    <t>Considerar que la emisión de órdenes de cocina y bar podrán ser hechas por medio de una impresión (aunque quedarán registradas en sistema o por medio de una consulta en el sistema)</t>
  </si>
  <si>
    <t>El sistema deberá proveer con una funcionalidad de traspaso de mercancías entre almacenes con su asiento contable relacionado</t>
  </si>
  <si>
    <t>Mov_02</t>
  </si>
  <si>
    <t>Recepción de pagos de clientes</t>
  </si>
  <si>
    <t>Capacidad del sistema para la recepción de pagos los cuales podrán ser categorizables entre pagos por tarjeta de crédito/débito y efectivo. El pago con cheque le agrega complejidad y flujos de trabajo adicionales así que por el momento esto no lo estaré considerando. Estos pagos deberán de hacer sus asientos contables correspondientes y en caso de que estos sean en efectivo el reflejo en caja. No dejar de tomar en cuenta que los pagos en tarjeta tienen un cargo por comisión bancaria</t>
  </si>
  <si>
    <t>Cli_04</t>
  </si>
  <si>
    <t>Capacidad del sistema para llevar un cátalogo de clientes para fines de facturación y el control del monto deudor para el caso de que se lleve un sistema de cuentas abiertas. Cuenta contable</t>
  </si>
  <si>
    <t>Administración de Usuarios, Permisos y Niveles Organizacionales</t>
  </si>
  <si>
    <t>UP</t>
  </si>
  <si>
    <t>1. Este es un módulo que permitirá la creación de usuarios, asignación de permisos y la definición inicial de los datos del cliente (para facturación), y sucursales</t>
  </si>
  <si>
    <t>Administración de Usuarios</t>
  </si>
  <si>
    <t>Administración de Niveles Organizacionales</t>
  </si>
  <si>
    <t>El sistema deberá proveer la funcionalidad de crear usuarios, permitirles la creación de passwords, categorizarlos, asignarles perfiles funcionales</t>
  </si>
  <si>
    <t>El sistema deberá contar con los niveles organizacionales con la forma de Cliente, Sucursal a los que el usuario deberá asignar datos propios entre los que se encuentran las cuentas contables</t>
  </si>
  <si>
    <t>UP_02</t>
  </si>
  <si>
    <t>UP_01</t>
  </si>
  <si>
    <t>Catalogos de impuestos. Es necesario contar con un catálogo de impuestos que estará relacionado con el registro maestro. Esto debido a que alimentos preparados y bebidas tienen sus propias tasas de impuesto</t>
  </si>
  <si>
    <t>Catálogos asociados con registros maestros</t>
  </si>
  <si>
    <t>Mas_02</t>
  </si>
  <si>
    <t>Catálogo de presentaciones de mercadería</t>
  </si>
  <si>
    <t>La mercadería podrá estar asignada a múltiples presentaciones, el usuario podrá asignar a cada presentación su equivalente en unidades de medida de consumo</t>
  </si>
  <si>
    <t>Mas_03</t>
  </si>
  <si>
    <t>El sistema deberá tener la capacidad de generar registros contables a nivel almacén</t>
  </si>
  <si>
    <t>Reportes Contables</t>
  </si>
  <si>
    <t>Con_02</t>
  </si>
  <si>
    <t>Aplicación de asientos contables</t>
  </si>
  <si>
    <t>El sistema deberá de junto con cada movimiento que implique la entrada/salida de dinero del restaurante por el concepto que sea, la aplicación correspondiente de un asiento contable el cuál deberá estar asociado con una entrada en el catálogo de cuentas registrado en el sistema</t>
  </si>
  <si>
    <t>Con_03</t>
  </si>
  <si>
    <t>Ventas y productos vendidos por mesero.</t>
  </si>
  <si>
    <t>Reportes de Ventas</t>
  </si>
  <si>
    <t>Rep_06</t>
  </si>
  <si>
    <t>Impresión de catálogos y póliza contable diaria.</t>
  </si>
  <si>
    <t>Acumulados de ventas, ventas por hora, por día.</t>
  </si>
  <si>
    <t>El sistema deberá contar con la funcionalidad de asignar folios a los distintos documentos generados por el sistema, afín de poder dar a cada documento la numeración que se desee. Esto debe considerar también si se están manejando varias sucursales</t>
  </si>
  <si>
    <t>Mas_04</t>
  </si>
  <si>
    <t>El sistema deberá dar la funcionalidad de dar de alta almacenes en donde se coloca la mercadería vendida por el proveedor. Estos almacenes deberán estar asociados a una cuenta dentro del catálogo de cuentas contables</t>
  </si>
  <si>
    <t>Inv_01</t>
  </si>
  <si>
    <t>Se manejará  como un nivel organizacional especial. Duplicado</t>
  </si>
  <si>
    <t>Inv_02</t>
  </si>
  <si>
    <t>Inv_03</t>
  </si>
  <si>
    <t>Platillos ya preparados deberían poder ser inventariables en caso de que se compren de manera externa y no se preparen en el restaurante. Se considerarán como mercancía</t>
  </si>
  <si>
    <t>Reportes de Documentos del Sistema</t>
  </si>
  <si>
    <t>Com_01</t>
  </si>
  <si>
    <t>Rep_07</t>
  </si>
  <si>
    <t>Internamente a la aplicación de la órden de comedor generará una salida de mercancías del almacén al que pertenezca la mercadería</t>
  </si>
  <si>
    <r>
      <t xml:space="preserve">Toma de órden podrá ser interna o para cliente. Ya sea para consumo interno, Cortesía o para la preparación de un platillo para su posterior venta, se podrá generar la órden. En caso de tratarse de una órden interna se deberá especificar si el platillo se almacenará en algún almacenamiento de producto terminado (por ejemplo un refrigerador). Las órdenes de cliente se consideran fuera del restaurante pero las internas no. </t>
    </r>
    <r>
      <rPr>
        <b/>
        <sz val="10"/>
        <color theme="1"/>
        <rFont val="Calibri"/>
        <family val="2"/>
        <scheme val="minor"/>
      </rPr>
      <t>Comidas de los empleados, desperdicios, cortesias. Se deberá especificar la naturaleza de la órden interna. Hacer la diferencia cuando se trate de un platillo de orden interna para su venta al público o para consumo interno.</t>
    </r>
  </si>
  <si>
    <t>Catálogo de conceptos asociados a la orden de comanda, la orden de comedor para la venta será la opción predefinida sin embargo las cortesías, desperdicios, consumo interno debe de poder ser asignado a una categoría y a su vez a un asiento contable</t>
  </si>
  <si>
    <t>Catálogos asociados a  documentos</t>
  </si>
  <si>
    <r>
      <rPr>
        <b/>
        <sz val="10"/>
        <color theme="1"/>
        <rFont val="Calibri"/>
        <family val="2"/>
        <scheme val="minor"/>
      </rPr>
      <t>Tickets.</t>
    </r>
    <r>
      <rPr>
        <sz val="10"/>
        <color theme="1"/>
        <rFont val="Calibri"/>
        <family val="2"/>
        <scheme val="minor"/>
      </rPr>
      <t xml:space="preserve"> Procesamiento de pagos de clientes. La orden se cierra hasta que es pagada sin embargo la orden se puede quedar abierta (sin pagar) pero asociada a una cuenta contable de cliente como concepto de saldo deudor</t>
    </r>
  </si>
  <si>
    <t>Probablemente si se manejan las órdenes actualmente abiertas en una area de la pantalla para consulta de documentos abiertos tal y como lo maneja SAP</t>
  </si>
  <si>
    <t>Catálogo de mesas dentro del restaurante, la mesa tendrá un estatus y los meseros podrán estar asignados a ellas.</t>
  </si>
  <si>
    <t>Platillos que se puedan agregar a las ordenes con una clave o con una tecla predefinida. Esto será escencial si es que se desea que la entrada de las órdenes sea por touchscreen</t>
  </si>
  <si>
    <t>De momento no estoy seguro de esta funcionalidad debido a la variedad de reglas que potencialmente no se estarían cumpliendo</t>
  </si>
  <si>
    <t>Caducidad Aproximada de Mercancias debe ser especificada en número de días. Es funcionalidad informativa</t>
  </si>
  <si>
    <t>Propiedad del sistema para que una determinada mercadería quede asociada a una ubicación dentro del inventario. Esto meramente sirve a propósitos de organización y control sobretodo para las personas que no poseen un conocimiento previo de la ubicación de todos los productos en el almacén. Es de apoyo también para el proceso de recepción de mercancías y para el inventario físico</t>
  </si>
  <si>
    <t>En el traspaso de mercancías entre almacenes, el usuario deberá especificar la cantidad a traspasar en función de lotes. Es imperativo que la mercancía haya sido ingresada al almacén a fín de poder hacer esta operación. En caso de que se desee realizar el traspaso en la unidad de medida de compra al proveedor, se debe especificar en la órden de recepción el almacén que recibirá la mercancía. Es posible hacer este movimiento entre sucursales. Tambíen se deberá de considerar la afectacion en niveles de inventario y contablemente</t>
  </si>
  <si>
    <t>El sistema deberá permitir el ingreso de mercancías al almacén sin necesidad de una órden de compra previa. Esto sirve en situaciones en donde el mismo personal del restaurante hace una compra de mercadería. Considerar impactos en inventarios y contablemente</t>
  </si>
  <si>
    <t>Mov_01</t>
  </si>
  <si>
    <t>El sistema deberá permitir la salida de mercancías del almacén sin necesidad de una órden de consumo previa. Esto sirve en situaciones en donde el mismo personal del restaurante hace una salida de mercadería. Considerar impactos en inventarios y contablemente</t>
  </si>
  <si>
    <t>El pago a proveedores no funcionará de esa manera, se manejará mediante un proceso de recepción y validación de facturas.</t>
  </si>
  <si>
    <t>OCP_01</t>
  </si>
  <si>
    <t>Administración de Relación Proveedor - Mercancía</t>
  </si>
  <si>
    <t>Es necesario en la administración de proveedores, en la sección en donde se establece la relación entre el proveedor y el producto que vende, esta funcionalidad podrá aplicarse masivamente a nivel de categoría de registro maestro o su categoría. Entre otras cosas esta relación podrá controlar cargos de envío u otros. Quizás algún tipo de descuento.</t>
  </si>
  <si>
    <t>OCP_03</t>
  </si>
  <si>
    <t>Propiedad del sistema para permitir la asociación de un proveedor a las multiples mercaderías que surte las cuales hayan sido dadas de alta previamente. La unidad de medida de compra de la mercancía se dará de alta en el catálogo de mercancías. Esta asociación podrá darse mediante la administración de la relación entre proveedor y mercancía (por lo que no hay restricción entre el proveedor y lo que le puede vender al restaurante) o mediante la generación de una órden de compra, lo cual automáticamente generará o actualizará el registro correspondiente.</t>
  </si>
  <si>
    <t>OCP_02</t>
  </si>
  <si>
    <t>Rec_01</t>
  </si>
  <si>
    <t>La Orden de recepción deberá de especificar el almacén y su ubicación (la cual se tomará de la órden de compra y la localidad asociada a ala mercancía) dentro del mismo a donde la mercadería ha de ser almacenada, además tomará como referencia los productos y las cantidades tal cual fueron especificadas en la órden de compra. Como mecanismo de control se deberá restringir la modificación de una órden de compra para evitar que se haga coincidir con una órden de recepción incompleta. En la órden de recepción se deberá actualizar la información transferida de la órden de compra con las cantidades, montos y productos que efectivamente fueron recibidos. En caso de que exista alguna diferencia entre el monto de una mercadería ingresada vs el monto en el sistema, este último deberá preguntar si se desea actualizar.</t>
  </si>
  <si>
    <t>No es necesario, dado que se manejará todo el sistema mediante usuarios. Sólo el usuario con los privilegios para acceder a esta pantalla podrá ejecutar el ingreso</t>
  </si>
  <si>
    <t>En realidad esta es una propiedad que aplica a todos los documentos dentro del sistema a fín de mantener su integridad referencial. En un diseño de objetos esta deberá ser una validación general</t>
  </si>
  <si>
    <t>Rec_02</t>
  </si>
  <si>
    <t>Reglas de Negocio para Documentos</t>
  </si>
  <si>
    <t>Comprende funcionalidad que no será propiamente puesta a disposición del usuario pero que dicta las reglas que rijen a las entidades y a los documentos de los que se compone el sistema</t>
  </si>
  <si>
    <t>ReNo</t>
  </si>
  <si>
    <t>Documentos del sistema deberán ser imprimibles. Se debe hacer la diferencia entre documentos de la operación del restaurante (órdenes de comanda, cocina o bar) y aquellos que impliquen movimientos de dinero o responsabilidades con terceros (facturas, notas, E/S de almacén, Órdenes de compra)</t>
  </si>
  <si>
    <t>ReNo_01</t>
  </si>
  <si>
    <t>Proteger la integridad referencial de documentos en la cancelación, quiere esto decir que no será posible cancelar un documento padre cuando tenga documentos hijos abiertos</t>
  </si>
  <si>
    <t>Considerar para cada documento la implicación en su cambio de estatus al momento en que todos sus documentos hijos tengan un estatus inactivo (es decir cerrado o cancelado)</t>
  </si>
  <si>
    <t>En caso de que la orden de recepción no se cubra al 100% con respecto a lo especificado en la orden de compra, será posible ingresar la recepción sin embargo no será posible cancelar o cerrar la órden de compra mientras no se actualicen las cantidades y conceptos requeridos para coincidir con la orden de recepción.</t>
  </si>
  <si>
    <t>El sistema generará un identificador para cada lote al ingreso en el almacén. El lote a su vez no será considerado una entidad per se sino una manera de clasificar la mercadería ingresada por su fecha y hora de ingreso. Realmente esto deberá ser transparente al usuario</t>
  </si>
  <si>
    <t>He decidido no usar el concepto de lote como una entidad sino que las entradas de mercancías se categorizarán por su fecha y hora de entrada al almacén.</t>
  </si>
  <si>
    <t>La orden de recepción deberá tener un impacto a nivel contable y a nivel inventarios de mercancías. Internamente la consulta de niveles de inventario no se hará por medio de los movimientos de entrada y salida sino por una consulta directa al nivel de inventario actualizado al momento de la recepción</t>
  </si>
  <si>
    <t>Capacidad del sistema en su interfaz gráfica de permitir la toma de varias órdenes al mismo tiempo. Esto lo he podido ver en interfaces gráficas que usan varias pestañas y en donde cada una corresponde a una órden. Esta funcionalidad está pensada principalmente para el mesero, para que pueda ver las mesas que está atendiendo y la órden que corresponde a cada una</t>
  </si>
  <si>
    <t>Manejo de propina dentro de las órdenes. A manejarse dentro de las notas de venta. Este control sería posible al momento para las notas pagadas con tarjeta de crédito o debito, para pagos en efectivo, el mesero debería de comunicar al cajero el monto que recibió por este concepto en caso contrario no se registraría.</t>
  </si>
  <si>
    <t>Como característica deseada se tiene que se pueda asignar una fotografía al platillo a fín de que sea facilmente reconocible al momento de llenar la comanda y de fácil selección por parte del mesero</t>
  </si>
  <si>
    <t>Catálogo de Cuentas Bancarias. El hecho de manejar cuentas bancarias sirve para propósitos de facilitar la conciliación bancaria cuando se cotejen los movimientos del estado de cuenta contra lo registrado en el sistema. Dado a que los proveedores pueden recibir pagos vía transferencia bancaria aunque también podrían recibir pagos en efectivo lo cuál tendría afectación sobre la caja. Aparte del banco y tipo de cuenta, también se podrá registrar la moneda en la que se maneja la cuenta</t>
  </si>
  <si>
    <t>Administración de Bancos</t>
  </si>
  <si>
    <t>Caj_02</t>
  </si>
  <si>
    <t>Caj_01</t>
  </si>
  <si>
    <t>El sistema ofrecerá la funcionalidad de registrar movimientos de efectivo en bancos, los cuales pueden consistir en cargos o abonos generados apartir de movimientos contables relacionados a proveedores principalmente, aunque se permitirán registrar movimientos de forma externa. Los movimientos deberán de estar respaldados por algún número de autorización en caso de transferencias electrónicas o por cheques. En el caso de los cheques, se generará una póliza por el monto en cuestión lo cual tendrá impacto directo en el saldo bancario y en el ajuste contable</t>
  </si>
  <si>
    <t>Envío de corte de caja a correo designado a nivel de cliente</t>
  </si>
  <si>
    <t>Reporte de Entradas/Salidas de Banco</t>
  </si>
  <si>
    <t>Reporte de Entradas/Salidas de Caja</t>
  </si>
  <si>
    <t>Operaciones de E/S de efectivo y Arqueo de Caja deberán tener acción sobre el cajón del dinero</t>
  </si>
  <si>
    <t>Procesamiento en linea o background</t>
  </si>
  <si>
    <t>Plan de compra: Mercancia, Proveedor, cantidad, precio unitario, precio total. Documento realmente no existente per se sino sigue la estructura de una orden de compra en el sentido de que cuenta una asociación superior a nivel proveedor y un listado de mercancías asociadas sólo que se muestran en un nivel que permita dentro de la misma pantalla ver distintos proveedores. Seleccion de proveedor en funcion del usado mas recientemente, el mas economico o el de tiempo de entrega mas corto</t>
  </si>
  <si>
    <t>LIFO, FIFO, Promedio para los costos de mercancías en inventario. Debe ser una funcionalidad configurable y será de utilidad al momento de calcular el costo del platillo en la órden. Esto consituye un elemento de configuración del que dependerán todas las salidas del almacén. Una vez seteado no podrá cambiarse</t>
  </si>
  <si>
    <t>Según el catalogo de impuestos, asignar a cada platillo o bebida la tasa que aplica de cada impuesto a fin de que sea reflejado en la nota de venta</t>
  </si>
  <si>
    <t>Los documentos deberán de contar con un folio que consta de una clave alfanumerica y una secuencia numerica la cual será podrá ser configurada a nivel sucursal y una vez que se hayan emitido documentos ya no podrá ser cambiada.</t>
  </si>
  <si>
    <t>El corte de caja constituye un documento por sí mismo consistente en los movimientos de entrada y salida de dinero por turno o día. Deberá tomar en cuenta lo ingresado/egresado</t>
  </si>
  <si>
    <t>La funcionalidad de corte de caja deberá ejecutar un Arqueo de Caja, lo que consiste en la cuenta y clasificación de lo ingresado en efectivo. Numero de monedas y sus denominaciones así como número de billetes y sus denominaciones. Se entrarán las cantidades y se conciliará. En caso de que haya diferencia a favor o en contra, está tendrá que ser autorizada por un usario distinto del operador de la caja para que se pueda proceder al cierre. Esta operación tiene afectación sobre las cuentas contables. Para finalizar se puede proceder a retirar dinero de la caja, la diferencia en monto constituye el saldo inicial para el siguiente ciclo.</t>
  </si>
  <si>
    <t>Recepción de notas de credito. Mediante esta funcionalidad el restaurante podrá ingresar notas de crédito emitidas por su proveedor por concepto de saldos deudores hacia el restaurante. La aplicación de esta nota tendrá un saldo de abono a la cuenta de este proveedor</t>
  </si>
  <si>
    <t>CxP_04</t>
  </si>
  <si>
    <t>Creación y aplicación de asientos contables manuales y no asociados a ningún otro documento</t>
  </si>
  <si>
    <t>Ingreso de Facturas. Funcionalidad para realizar la captura de las facturas emitidas por el proveedor. Paso necesario para poder efectuar la revisión y posterior pago</t>
  </si>
  <si>
    <t>Revisión de Facturas. Funcionalidad que permitirá al receptor de facturas, el poder cotejar la factura recibida contra lo efectivamente ingresado al almacén por medio de la recepción de mercancías. La correcta finalización de este paso lleva al proceso de pago del proveedor el cuál se realizará ya sea por medio de un retiro bancario o emisión de cheque según esté configurado a nivel de proveedor.</t>
  </si>
  <si>
    <t>CxP_03</t>
  </si>
  <si>
    <t>CxP_02</t>
  </si>
  <si>
    <t>Elaboración de órdenes de pago, los cuales podrán ser emitidos hacia un proveedor y con la posibilidad de poner como referencia algún documento de factura previamente capturado. Este movimiento tendrá una afectación sobre la cuenta bancaria y la contabilidad</t>
  </si>
  <si>
    <t>CxP_01</t>
  </si>
  <si>
    <t>Asociada a cada mercancía en el sistema , se especificará un valor numerico que corresponde al valor del Inventario de Seguridad para propósitos del cálculo del punto de reorden. En caso de que no sea especificado, no podrá ser considerada la mercancía dentro del cálculo</t>
  </si>
  <si>
    <t>El Punto de reorden para cada Mercancía será calculado mediante la fórmula: Punto de reorden = (consumo promedio diario * tiempo de entrega) + inventario de seguridad.
Siento tiempo de entrega:
Tiempo de procesamiento de la orden de compra (work days) - Información configurable en el sistema
Tiempo estimado de entrega (calendar days) - Valor asignado a cada proveedor
Tiempo estimado de recepcion de mercancias (incluye almacenaje) (work days) - Informacion configurable en el sistema</t>
  </si>
  <si>
    <t>Elaboración de Planes de Compra</t>
  </si>
  <si>
    <t>OCP_04</t>
  </si>
  <si>
    <t>Dada la diversidad de mercancías que pueden ser manejadas por el restaurante y la variedad de presentaciones en las que estan pueden ser adquiridas, existe a nivel mercancía un parámetro seleccionable: Tamaño mínimo de lote para ordenar. Si esta cantidad no es especificada, el sistema permitirá solicitar mercancías en cantidades mínimas igual a 1 unidad de medida de compra, mientras que si se especifica un tamaño de lote querrá decir que el sistema sólo podrá ordenar esa mercancía en un tamaño mínimo a esa cantidad</t>
  </si>
  <si>
    <t>Los planes de compra podrán ser solicitados a nivel platillo o a nivel mercancía. A fin de poder hacerlo a nivel platillo es necesario que todos los ingredientes que lo constituyen tengan la bandera que indique que se quieren considerar para planes de compra</t>
  </si>
  <si>
    <t>Entidad Padre</t>
  </si>
  <si>
    <t>Documento</t>
  </si>
  <si>
    <t>Atributos del Padre</t>
  </si>
  <si>
    <t>Atributos de la Entidad</t>
  </si>
  <si>
    <t>NA</t>
  </si>
  <si>
    <t>Status de la Entidad</t>
  </si>
  <si>
    <t>Status del Padre</t>
  </si>
  <si>
    <t>S</t>
  </si>
  <si>
    <t>N</t>
  </si>
  <si>
    <t>Orden de Cocina</t>
  </si>
  <si>
    <t>Orden de Bar</t>
  </si>
  <si>
    <t>Abierto, Cerrado</t>
  </si>
  <si>
    <t>Registro Maestro</t>
  </si>
  <si>
    <t>Plan de Compra</t>
  </si>
  <si>
    <t>Mercancía, Proveedor</t>
  </si>
  <si>
    <t>InfoCompra_Proveedor</t>
  </si>
  <si>
    <t>Transacción de Almacén</t>
  </si>
  <si>
    <t>Aplicada, Cancelada</t>
  </si>
  <si>
    <t>Factura</t>
  </si>
  <si>
    <t>Transacción Bancaria</t>
  </si>
  <si>
    <t>Cliente</t>
  </si>
  <si>
    <t>Persona</t>
  </si>
  <si>
    <t>Nota de Venta</t>
  </si>
  <si>
    <t>Poliza Contable</t>
  </si>
  <si>
    <t>Bebida</t>
  </si>
  <si>
    <t>Area de Preparación</t>
  </si>
  <si>
    <t>Cuenta Bancaria</t>
  </si>
  <si>
    <t>Caja</t>
  </si>
  <si>
    <t>Cajero</t>
  </si>
  <si>
    <t>Almacenista</t>
  </si>
  <si>
    <t>Empleado</t>
  </si>
  <si>
    <t>Activo, Inactivo</t>
  </si>
  <si>
    <t>ID_Almacen</t>
  </si>
  <si>
    <t xml:space="preserve">Nombre, Dirección, Teléfono, Correo electrónico </t>
  </si>
  <si>
    <t>Abierta, Cerrada</t>
  </si>
  <si>
    <t>Pago de Cliente</t>
  </si>
  <si>
    <t>Forma de Pago</t>
  </si>
  <si>
    <t>Usuario</t>
  </si>
  <si>
    <t>ID_Usuario, Password, Perfil(es)</t>
  </si>
  <si>
    <t>Ubicación física</t>
  </si>
  <si>
    <t>Corte de Caja</t>
  </si>
  <si>
    <t>Tipo de Cuenta Bancaria</t>
  </si>
  <si>
    <t>Activa, Inactiva</t>
  </si>
  <si>
    <t>Factura_Cliente</t>
  </si>
  <si>
    <t>Factura_Proveedor</t>
  </si>
  <si>
    <t>Forma de Pago a Proveedor</t>
  </si>
  <si>
    <t>InfoRegistroMaestro_Compra</t>
  </si>
  <si>
    <t>InfoRegistroMaestro_Contabilidad</t>
  </si>
  <si>
    <t>InfoRegistroMaestro_Foto</t>
  </si>
  <si>
    <t>InfoRegistroMaestro_Inventario</t>
  </si>
  <si>
    <t>Ubicación física a donde se almacenarán las mercancías y bebidas adquiridas por el restaurante</t>
  </si>
  <si>
    <t>Padre?</t>
  </si>
  <si>
    <t>Usuario con el privilegio para efectuar operaciones de entrada y salida de productos en el almacén</t>
  </si>
  <si>
    <t>Ubicación física en donde se preparan platillos y bebidas dentro del restaurante</t>
  </si>
  <si>
    <t>Bebida que es adquirida por el restaurante para su consumo y/o venta</t>
  </si>
  <si>
    <t>Ubicación o departamento donde  principalmente se captan los ingresos del restaurante provenientes de la venta de platillos y bebidas</t>
  </si>
  <si>
    <t>Usuario con el privilegio para efectuar operaciones de entrada y de dinero en la caja. La caja esta físicamente impedida para su apertura a menos que sea por una operación de recepción de pago o por un arqueo/cierre</t>
  </si>
  <si>
    <t>Acciones de la Entidad</t>
  </si>
  <si>
    <t>Acciones del Padre</t>
  </si>
  <si>
    <t>Catálogo de los distintos cargos que pueden ser contenidos en la factura emitida por el proveedor al restaurante además del IVA. Cada cargo podrá ser especificado en monto fijo o porcentaje sobre el valor de la factura</t>
  </si>
  <si>
    <t>Acciones para entidades padres</t>
  </si>
  <si>
    <t>Creación, Edición, Borrado lógico</t>
  </si>
  <si>
    <t>Permitido, Bloqueado</t>
  </si>
  <si>
    <t>Documento emitido por la caja al final de un turno o del día en donde se resume el registro de las operaciones de entrada de dinero ocurridas durante el periodo</t>
  </si>
  <si>
    <t>ID_Caja, Fecha de Apertura, Hora de Apertura, Saldo Inicial, Fecha de Cierre, Hora de Cierre, Saldo Final, Diferencia</t>
  </si>
  <si>
    <t>Cuenta Bancaria del Resaturante usada principalmente para realizar pagos a proveedores</t>
  </si>
  <si>
    <t>Entidad padre de todos los documentos (operativos y monetarios) que pueden ser generados en el sistema</t>
  </si>
  <si>
    <t>Empleado del restaurante que hace uso del sistema en cualquiera de sus posibles funcionalidades</t>
  </si>
  <si>
    <t>Documento que representa la compra-venta de bienes y/o servicios entre dos entidades fiscales previamente constituídas</t>
  </si>
  <si>
    <t>Factura generada por el o los consumos del Cliente en el Restaurante</t>
  </si>
  <si>
    <t>ID_Cliente</t>
  </si>
  <si>
    <t>Factura ingresada al sistema por concepto de los cargos hechos por el proveedor relacionados con la compra de mercancía</t>
  </si>
  <si>
    <t>Cargos de Proveedor, Órden de Recepción al almacén</t>
  </si>
  <si>
    <t>Forma de Pago del Cliente</t>
  </si>
  <si>
    <t>Catálogo de formas de pago ya sea del Cliente o al Proveedor</t>
  </si>
  <si>
    <t>Nombre de la forma de pago</t>
  </si>
  <si>
    <t>Especialización correspondiente a la forma de pago al proveedor</t>
  </si>
  <si>
    <t>Cuenta Bancaria (Por diseño un proveedor podrá ser pagado por cheque o transferencia pero siempre con referencia a una cuenta bancaria)</t>
  </si>
  <si>
    <t>Especialización correspondiente a la forma de pago del cliente</t>
  </si>
  <si>
    <t>Registro concerniente a la Información relacionada con carácteristicas particulares de compra de cada Proveedor</t>
  </si>
  <si>
    <t>Proveedor, Cargos del Proveedor</t>
  </si>
  <si>
    <t>Registro concerniente a la Información relacionada con carácteristicas particulares de compra de cada Registro Maestro</t>
  </si>
  <si>
    <t>Registro Maestro, Presentación</t>
  </si>
  <si>
    <t>Registro concerniente a la Información relacionada con carácteristicas particulares de contabilidad de cada Registro Maestro</t>
  </si>
  <si>
    <t>ID_Proveedor, Dias de Credito, Tiempo de Surtido, Cargos del Proveedor, Moneda</t>
  </si>
  <si>
    <t>Registro que contiene la fotografía descriptiva del registro maestro</t>
  </si>
  <si>
    <t>Path de la fotografía (idealmente tomada de un servidor común a varias sucursales)</t>
  </si>
  <si>
    <t>Registro concerniente a la Información relacionada con carácteristicas particulares de la forma de inventariar cada Registro Maestro</t>
  </si>
  <si>
    <t>InfoRegistroMaestro_Proveedor</t>
  </si>
  <si>
    <t>Especialización del Registro Maestro y consiste en la mercadería  (exceptuando bebidas) que forma parte de los platillos ofrecidos en el restaurante</t>
  </si>
  <si>
    <t>Ubicación física que corresponde a la mesa del restaurante. Esta entidad tiene relevancia en el sistema dado que los meseros son asignados a ellas</t>
  </si>
  <si>
    <t>Usuario con el privilegio para efectuar operaciones de creación de orden de comanda</t>
  </si>
  <si>
    <t>Nota de Crédito de Proveedor</t>
  </si>
  <si>
    <t>Nota de Crédito al Cliente</t>
  </si>
  <si>
    <t>ID_Factura_Proveedor</t>
  </si>
  <si>
    <t>ID_Factura_Cliente</t>
  </si>
  <si>
    <t>Comprobante de venta emitido por el restaurante al Cliente por concepto del consumo de platillos y/o bebidas. Este documento no tiene validez fiscal</t>
  </si>
  <si>
    <t>Orden creada por el mesero la cual constituye por así decirlo la órden de trabajo para el personal de cocina y de bar.</t>
  </si>
  <si>
    <t>Especialización de la Orden de Comanda en donde sólo Bebidas son consideradas. Su propósito es la división de trabajo</t>
  </si>
  <si>
    <t>Bebida_Mercancía</t>
  </si>
  <si>
    <t>Ingrediente_Mercancía</t>
  </si>
  <si>
    <t>Registro concerniente a la Información relacionada con carácteristicas particulares de la forma de vender cada Registro Maestro</t>
  </si>
  <si>
    <t>InfoRegistroMaestro_Venta</t>
  </si>
  <si>
    <t>ID_Registro Maestro, Presentación de Inventario, Presentación de Consumo, Equivalencia entre ambas presentaciones, Unidad de medida</t>
  </si>
  <si>
    <t>Nombre de la Unidad, Categoría (Masa, Peso, Volúmen)</t>
  </si>
  <si>
    <t>Especialización de la Orden de Comanda en donde sólo Platillos son considerados. Su propósito es la división de trabajo</t>
  </si>
  <si>
    <t>Pendiente, Completada, Cancelada</t>
  </si>
  <si>
    <t>Abierta, Cerrada, Cancelada</t>
  </si>
  <si>
    <t>Documento oficial para la orginación de un pago a Proveedor.  Toma como base un documento de Factura de proveedor (verificado) o una Orden de Recepción de Mercancías</t>
  </si>
  <si>
    <t>Documento oficial para la solicitud de compra de mercancías al proveedor</t>
  </si>
  <si>
    <t>Documento que oficializa el ingreso de mercancías dadas por el proveedor y funge como documento base sobre el cuál se verificará la factura y/o se generará el pago</t>
  </si>
  <si>
    <t>Nota de Venta, Forma de Pago del Cliente</t>
  </si>
  <si>
    <t>ID_Nota de Venta, Forma de Pago del Cliente</t>
  </si>
  <si>
    <t>Entidad primaria asociada con una persona, ya sea física o moral que tiene algún tipo de interacción con los procesos llevados a cabo en el sistema.</t>
  </si>
  <si>
    <t>Documento de creación automática que engloba varias órdenes de compra sugeridas por el sistema después de un proceso de revisión de niveles de inventario y posterior sugerencia de compra. El propósito de un plan de compra es el de ser un documento en borrador que se puede o no tomar en cuenta y que se puede descartar sin ningúna implicación en el sistema</t>
  </si>
  <si>
    <t>Esta entidad es creada a fin de soportar a aquellos platillos preparados en el restaurante que se conforman de uno o más Ingredientes</t>
  </si>
  <si>
    <t>Ingresada, Pendiente de Ingresar, Devuelta</t>
  </si>
  <si>
    <t>Las polizas son los documentos donde se quedan registrados los ingresos, egresos y otros movimientos contables de un negocio. Son el soporte en papel de los movimientos contable. A estos deben ser anexados los comprobantes tales como ficha de deposito del banco en el caso de ser ingreso.</t>
  </si>
  <si>
    <t>Presentación física en la que determinado producto es comprado, inventariado y consumido en el restaurante</t>
  </si>
  <si>
    <t>Nombre de la presentación, Clasificación (Masa, Peso, Volúmen)</t>
  </si>
  <si>
    <t>Entidad que interactúa con el restaurante en la venta de mercadería y bebidas que forman parte del menú</t>
  </si>
  <si>
    <t>Entidad padre de las mercancías (ingredientes) y bebidas procesadas y vendidas por el restaurante</t>
  </si>
  <si>
    <t>Nombre, Tipo de Registro (Mercancía, Bebida) Clasificación</t>
  </si>
  <si>
    <t>ID_Localidad, ID_Registro Maestro, Presentación de Inventario, Inventario de Seguridad, Caducidad</t>
  </si>
  <si>
    <t>Catálogo de los distintos tipos de cuenta bancaria que pueden sarse de alta en el sitema. Hasta el momento este catálogo es meramente informativo</t>
  </si>
  <si>
    <t>Nombre del Tipo de Cuenta Bancaria</t>
  </si>
  <si>
    <t>Movimiento contable originado por movimientos de efectivo en bancos o cajas y/o movimientos de almacén por concepto de entradas/salidas de mercancías</t>
  </si>
  <si>
    <t>Movimiento de mercancías en inventario por conceptos relacionados a entradas/salidas de mercancías</t>
  </si>
  <si>
    <t>Aréa del restaurante donde determinada operación tiene lugar</t>
  </si>
  <si>
    <t>ID_Sucursal, Nombre, Descripción</t>
  </si>
  <si>
    <t>Entidad asociada con un Empleado del restaurante que tiene facultades para hacer uso del sistema</t>
  </si>
  <si>
    <t>Catálogo de unidades de medida que apoya en labores de conversión entre la cantidad adquirida al proveedor, ingresada al inventario y consumida en la cocina</t>
  </si>
  <si>
    <t>Registro concerniente a la Información relacionada con carácteristicas particulares de la forma de comprar cada Registro Maestro</t>
  </si>
  <si>
    <t>Propiedad del sistema para poder exportar las polizas contables a formato XML tal y como son requeridas por la autoridad fiscal. Aunque de momento esto contará con información parcial de los movimientos del restaurante dado que no se está contemplando la compra de servicios, nómias ,etc.</t>
  </si>
  <si>
    <t>07:44 p.m.</t>
  </si>
  <si>
    <t>Usuario de CXP</t>
  </si>
  <si>
    <t>Usuario de CXC</t>
  </si>
  <si>
    <t>Contador</t>
  </si>
  <si>
    <t>Cocinero/Barman</t>
  </si>
  <si>
    <t>1. Ingreso de facturas del proveedor al sistema
2. Revisión de facturas y cotejarlas contra la recepción de mercancías en el almacén
3. Ingreso de notas de crédito emitidas por el proveedor
4. Emisión de pagos a proveedores con base en facturas</t>
  </si>
  <si>
    <t>1. Dar de alta y mantener catálogo de clientes.
2. Emisión de facturas fiscales tomando como base una o más notas de venta.
Convertir órdenes de comanda en notas de venta, considerando aspectos como descuentos, registro de propinas, dividir la cuenta, agregar cargos extras que serán cubiertos por el cliente</t>
  </si>
  <si>
    <t>Usuario de Compras</t>
  </si>
  <si>
    <t>1. Dar de alta y mantener el catálogo de mercancías y bebidas.
2. Administración de catálogos  de entidades relacionadas a las ubicaciones físicas, usuarios, etc.
3. Hacer modificaciones sobre las configuraciones del sistema</t>
  </si>
  <si>
    <t>1. Elaboración de órden de comanda.
2. Cierre de órden
3. Consulta del estatus de las órdenes de cocina(s) y bar que estan relacionadas con sus propias órdenes de comanda</t>
  </si>
  <si>
    <t>1. Creación decuentas contables
2. Asignación de cuentas contables de órden a los asientos contables predefinidos en el sistema.
3. Elaboración de polizas contables
4. Mantener la información de InfoRegistroMaestro_Contabilidad</t>
  </si>
  <si>
    <t>1. Recepción de mercancías por una órden de compra
2. Recepción de mercancías sin órden de compra
3. Entrada genérica de mercancías al almacén
4. Salida genérica de mercancías del almacén
5. Elaboración de inventario físico
6. Consulta de niveles de inventario.
7. Elaborar traspasos de mercancías entre almacenes
8. Mantener el catálogo de InfoRegistroMaestro_Inventario</t>
  </si>
  <si>
    <t>Aplicada, No Aplicada</t>
  </si>
  <si>
    <t>Entidad Relacionada</t>
  </si>
  <si>
    <t xml:space="preserve">Parte de - Sucursal </t>
  </si>
  <si>
    <t>Especificar cual es el almacén de la sucursal que hará la recepción de mercancías (quizás sea necesario que se configure para cada proveedor)</t>
  </si>
  <si>
    <t>Regla de Negocio</t>
  </si>
  <si>
    <t>No se podrá desactivar un almacén considerado default para recepción de mercancías</t>
  </si>
  <si>
    <t>Asignado a - Almacén</t>
  </si>
  <si>
    <t>Un almacenista puede estar asignado a muchos y un almacén puede tener varios almacenistas (idealmente sería sólo uno)</t>
  </si>
  <si>
    <t>Un área de preparación puede tener uno o más dispositivos de salida</t>
  </si>
  <si>
    <t>1. La caja no podrá registrar movimientos de entrada al encontrarse en estatus Cerrada
2. En la apertura de caja se seleccionará el usuario a ser responsable hasta el momento en que se haga el cierre. Ningún otro usuario podrá acceder a esta funcionalidad mientras esté abierta</t>
  </si>
  <si>
    <t>Una Caja sólo podrá tener un cajero registrado mientras esté en estatus Abierta y sólo podrá cambiarse cuando esta se cierre</t>
  </si>
  <si>
    <t>Está asignado a Caja</t>
  </si>
  <si>
    <t>Forman parte de la Nota de Venta del Cliente</t>
  </si>
  <si>
    <t>Cliente que consume los platillos y bebidas proporcionados por el resturante generalmente a cambio de la emisión de un pago</t>
  </si>
  <si>
    <t>Un proveedor tiene cargos</t>
  </si>
  <si>
    <t>Cuenta Mayor</t>
  </si>
  <si>
    <t>No será posible generar este registro sino hasta que se de de alta un almacén a donde se asignará esta mercancía</t>
  </si>
  <si>
    <t>Inventario</t>
  </si>
  <si>
    <t>Cuentas Por Cobrar Clientes</t>
  </si>
  <si>
    <t>Caja General</t>
  </si>
  <si>
    <t>Refierase al catálogo de Bancos SAT</t>
  </si>
  <si>
    <t>Gastos</t>
  </si>
  <si>
    <t>Clave y Nombre del almacén</t>
  </si>
  <si>
    <t>Clave y Nombre del cliente</t>
  </si>
  <si>
    <t>Esté catálogo permitirá registrar los distintos tipos de impuestos a causarse por la compra/venta de alimentos y bebidas. En este rubro se ha de considerar el IVA</t>
  </si>
  <si>
    <t>Nombre, Monto Fijo, Porcentaje sobre operación</t>
  </si>
  <si>
    <t>Entidad agrupadora para aquellas bebidas preparadas en el restaurante que se conforman de una o más bebidas</t>
  </si>
  <si>
    <t>Clave y Nombre de la Caja</t>
  </si>
  <si>
    <t>Por regla las facturas no pueden ser canceladas, si se desea dar reversa a alguna factura se deberá emitir una nota de crédito</t>
  </si>
  <si>
    <t>Usuario encargado de emitir los pagos a Proveedores</t>
  </si>
  <si>
    <t>Usuario encargado de sar seguimiento a los cobros hacia los clientes</t>
  </si>
  <si>
    <t>Usuario encargado de llevar el catálogo de Proveedores y realizar órdenes de compra</t>
  </si>
  <si>
    <t>Usuario encargado de elaborar los reportes de contabilidad y dar mantenimiento al catálogo de cuentas así como las secciones en donde se definirán los asientos contables</t>
  </si>
  <si>
    <t>Usuario responsable de dar mantenimiento a los catálogos del sistema y que no serán de acceso recurrente para los demás usuarios</t>
  </si>
  <si>
    <t>Usuario que recibirá las órdenes de comanda especificas para el área de preparación a la cuál están asignados</t>
  </si>
  <si>
    <t>ID_Area de Preparación</t>
  </si>
  <si>
    <t>Entidad principal que corresponde a un área o región geográfica del restaurante y de donde provienen las demás ubicaciones como almacenes, areas de preparación, etc.</t>
  </si>
  <si>
    <t>Cliente Sistema</t>
  </si>
  <si>
    <t>ID_Cliente Sistema,
Nombre de la Sucursal</t>
  </si>
  <si>
    <t>Debe/Cargo</t>
  </si>
  <si>
    <t>Haber/Abono</t>
  </si>
  <si>
    <t>Recepción de Mercancías con/sin Orden de Compra</t>
  </si>
  <si>
    <t>Entrada genérica de mercancías al almacén (Transacción de almacén)</t>
  </si>
  <si>
    <t>Variante</t>
  </si>
  <si>
    <t>Por concepto de compra directa a un proveedor no registrado (pago de contado)</t>
  </si>
  <si>
    <t>Salida genérica de mercancías del almacén (Transacción de almacén)</t>
  </si>
  <si>
    <t>Por concepto de merma</t>
  </si>
  <si>
    <t>Por concepto de devolución</t>
  </si>
  <si>
    <t>Sub Cuenta Contable</t>
  </si>
  <si>
    <t>Elaboración de Inventario físico</t>
  </si>
  <si>
    <t>Ajuste a favor</t>
  </si>
  <si>
    <t>Ajuste en contra</t>
  </si>
  <si>
    <t>Otros Gastos -&gt; Otros Gastos -&gt; Merma</t>
  </si>
  <si>
    <t>Traspasos de Mercancías</t>
  </si>
  <si>
    <t>Dirección, Teléfono, Horario de Recepción de Mercancías,
Cuenta Contable de Cargo, Cuenta Contable de Abono</t>
  </si>
  <si>
    <t>Activo -&gt; Inventario -&gt; Cuenta contable de Cargo del almacén de recepción por el monto de lo efecivamente recibido</t>
  </si>
  <si>
    <t>Pasivo -&gt; Proveedores -&gt; Proveedor Nacional/Extranjero -&gt; Cuenta contable de Abono del proveedor por el monto de lo efectivamente recibido</t>
  </si>
  <si>
    <t>Activo -&gt; Bancos -&gt; Cuenta Contablde de Abono Bancaria de donde se efectuará la disminución por el monto de lo efectivamente ingresado al almacén</t>
  </si>
  <si>
    <t>Activo -&gt; Inventario -&gt; Cuenta contable de Abono del almacén de la mercancía por el monto de lo efecivamente retirado</t>
  </si>
  <si>
    <t>Activo -&gt; Inventario -&gt; Cuenta contable de Abono del almacén de recepción por el monto de lo efecivamente retirado</t>
  </si>
  <si>
    <t>Pasivo -&gt; Proveedores -&gt; Proveedor Nacional/Extranjero -&gt; Cuenta contable de Cargo del proveedor por el monto de lo efectivamente retirado</t>
  </si>
  <si>
    <t>Activo -&gt; Inventario -&gt; Cuenta contable de Cargo del almacén por el monto de lo efecivamente ingresado</t>
  </si>
  <si>
    <t>Activo -&gt; Inventario -&gt; Cuenta contable de Abono del almacén por el monto de lo efecivamente recibido</t>
  </si>
  <si>
    <t>Activo -&gt; Inventario -&gt; Cuenta contable de Abono del almacén por el monto de lo efecivamente retirado</t>
  </si>
  <si>
    <t>Entrada al Almacén / Salida del Almacén</t>
  </si>
  <si>
    <t>Objetivos</t>
  </si>
  <si>
    <t>Efectivo</t>
  </si>
  <si>
    <t>Pagos con Tarjeta</t>
  </si>
  <si>
    <t>Activo -&gt; Caja -&gt; Caja y Efectivo -&gt; Cuenta contable de Cargo de la Caja que registra el pago por el monto del movimiento</t>
  </si>
  <si>
    <t>Activo -&gt; Caja -&gt; Caja y Efectivo -&gt; Cuenta contable de Cargo de la Caja que registra el cargo por Propina</t>
  </si>
  <si>
    <t>Pasivo -&gt; Acreedores diversos a corto plazo -&gt; Otros acreedores diversos a corto plazo</t>
  </si>
  <si>
    <t>Comisiones Bancarias por Uso de tarjeta</t>
  </si>
  <si>
    <t>Activo -&gt; Bancos -&gt; Bancos Nacionales -&gt; Cuenta contable de Abono del Banco que registra el pago por el monto del movimiento</t>
  </si>
  <si>
    <t>Gastos -&gt; Gastos Generales -&gt; Comisiones por tarjetas de crédito</t>
  </si>
  <si>
    <t>Arqueo de Caja</t>
  </si>
  <si>
    <t>Nombre del Banco, Tipo de Cuenta, Moneda, Cuenta Contable de Cargo, Cuenta Contable de Abono</t>
  </si>
  <si>
    <t>Otros Gastos -&gt; Otros Gastos -&gt; Ajuste de Inventario</t>
  </si>
  <si>
    <t>Activo -&gt; Caja -&gt; Caja y Efectivo -&gt; Cuenta contable de Abono de la Caja que registra el pago por el monto del movimiento</t>
  </si>
  <si>
    <t>Otros Gastos -&gt; Otros Gastos -&gt; Ajuste de Caja</t>
  </si>
  <si>
    <t>Asiento</t>
  </si>
  <si>
    <t>Elaboración de Órden de Comanda</t>
  </si>
  <si>
    <t>Activo -&gt; Inventario -&gt; Cuenta contable de Abono del área de preparación por el monto del movimiento</t>
  </si>
  <si>
    <t>1. Dar de alta y mantener el catálogo de proveedores..
2. Administrar información particular a nivel de proveedor y la mercancía que vende. InfoCompra_Proveedor e InfoRegistroMaestro_Compra
3. Elaborar órdenes de compra.
4. Elaborar planes de compra con base en los niveles actuales de inventario y el punto de reorden de las mercancías</t>
  </si>
  <si>
    <t>Recepción de Pagos de Clientes</t>
  </si>
  <si>
    <t>Aplicación del retiro de mercancías del almacén</t>
  </si>
  <si>
    <t>Activo -&gt; Inventario -&gt; Cuenta contable de Cargo del almacén de Entrada por el monto del movimiento</t>
  </si>
  <si>
    <t>Activo -&gt; Inventario -&gt; Cuenta contable de Abono del almacén de Salida por el monto del movimiento</t>
  </si>
  <si>
    <t>Clientes -&gt; Clientes nacionales -&gt; Cuenta Contable de Abono del Cliente por el monto del movimiento</t>
  </si>
  <si>
    <t>Costos -&gt; Costo de venta y/o servicio -&gt; Costo de Venta</t>
  </si>
  <si>
    <t>Ingresos -&gt; Ingresos -&gt; Ventas y/o servicios gravados a la tasa general</t>
  </si>
  <si>
    <t>Mesero,  Registro Maestro, Mesa</t>
  </si>
  <si>
    <t>ID del Mesero, ID del Registro Maestro, ID de la Mesa, Número de Comensales</t>
  </si>
  <si>
    <t>Generar Factura de Cliente</t>
  </si>
  <si>
    <t>Traslado de IVA a cliente</t>
  </si>
  <si>
    <t>Verificada, Por Verificar, Rechazada, Pagada</t>
  </si>
  <si>
    <t>Del Proveedor</t>
  </si>
  <si>
    <t>No.</t>
  </si>
  <si>
    <t>Comentario</t>
  </si>
  <si>
    <t>Pasivo -&gt; Impuestos Trasladados no cobrados -&gt; IVA Trasladado</t>
  </si>
  <si>
    <t>Pasivo -&gt; Impuestos Trasladados no cobrados -&gt; IEPS Trasladado</t>
  </si>
  <si>
    <t>Llevar cuentas contables a ceros para situaciones en donde exista algún saldo y sea necesario llevarlo a ceros por operaciones que se han efectuado por fuera del sistema.</t>
  </si>
  <si>
    <t>Clientes -&gt; Clientes nacionales -&gt; Cuenta Contable de Cargo del Cliente por el monto de la venta sin impuestos</t>
  </si>
  <si>
    <t>Clientes -&gt; Clientes nacionales -&gt; Cuenta Contable de Cargo del Cliente por el monto del IVA Calculado</t>
  </si>
  <si>
    <t>Clientes -&gt; Clientes nacionales -&gt; Cuenta Contable de Cargo del Cliente por el monto del IEPS calculado</t>
  </si>
  <si>
    <t>Se carga a la cuenta del cliente el monto del IVA de la venta y se incrementa el valor de la cuenta de IVA por ser trasladado</t>
  </si>
  <si>
    <t>Se carga a la cuenta del cliente el monto del IEPS de la venta y se incrementa el valor de la cuenta de IEPS por ser trasladado</t>
  </si>
  <si>
    <t>Pasivo -&gt; Impuestos Trasladados no cobrados -&gt; IVA no Trasladado</t>
  </si>
  <si>
    <t>Pasivo -&gt; Impuestos Trasladados no cobrados -&gt; IEPS no Trasladado</t>
  </si>
  <si>
    <t>Cargo de la venta a la cuenta del cliente</t>
  </si>
  <si>
    <t>Cargo del IEPS a la cuenta del cliente</t>
  </si>
  <si>
    <t>Se registra el pago de la propina en la caja y se considera como un pasivo a corto plazo que será repartido posteriormente al personal de servicio</t>
  </si>
  <si>
    <t>Clientes -&gt; Clientes nacionales -&gt; Cuenta Contable de Cargo del Cliente por el monto del cargo sin impuestos</t>
  </si>
  <si>
    <t>Se carga a la cuenta del cliente el monto del cargo y se registra el ingreso por el monto del cargo sin considerar aún los impuestos que deben ser trasladados</t>
  </si>
  <si>
    <t>Se carga a la cuenta del cliente el monto del IVA del cargo venta y se incrementa el valor de la cuenta de IVA por ser trasladado</t>
  </si>
  <si>
    <t>Cargo del IVA a la cuenta del cliente por la venta</t>
  </si>
  <si>
    <t>Cargo por Entrega</t>
  </si>
  <si>
    <t>Cargo</t>
  </si>
  <si>
    <t>Abono</t>
  </si>
  <si>
    <t>Ingreso</t>
  </si>
  <si>
    <t>Ventas</t>
  </si>
  <si>
    <t>Operación de Emisión de Nota de Venta a Cliente y Cobro</t>
  </si>
  <si>
    <t>Pasivo</t>
  </si>
  <si>
    <t>Ingresos</t>
  </si>
  <si>
    <t>Costos</t>
  </si>
  <si>
    <t>IVA no trasladado</t>
  </si>
  <si>
    <t>IVA trasladado</t>
  </si>
  <si>
    <t>IEPS no trasladado</t>
  </si>
  <si>
    <t>IEPS trasladado</t>
  </si>
  <si>
    <t>Acreedores a Corto Plazo</t>
  </si>
  <si>
    <t>Bancos</t>
  </si>
  <si>
    <t>Comisión Bancaria</t>
  </si>
  <si>
    <t>Valor de la Venta</t>
  </si>
  <si>
    <t>IVA</t>
  </si>
  <si>
    <t>Monto de articulos causantes de IEPS</t>
  </si>
  <si>
    <t>Tarjeta</t>
  </si>
  <si>
    <t>Otros Cargos</t>
  </si>
  <si>
    <t>Entrega</t>
  </si>
  <si>
    <t>Valor de la Cuenta Total</t>
  </si>
  <si>
    <t>Total a Pagar</t>
  </si>
  <si>
    <t>X</t>
  </si>
  <si>
    <t>IEPS Calculado</t>
  </si>
  <si>
    <t>Cargo del IVA a la cuenta del cliente por el cargo de Entrega</t>
  </si>
  <si>
    <t>Activo -&gt; Caja -&gt; Caja y Efectivo -&gt; Cuenta contable de Cargo de la Caja que registra el pago por el monto de la venta más el pago de IVA, IEPS y el Cargo por Entrega</t>
  </si>
  <si>
    <t>Clientes -&gt; Clientes nacionales -&gt; Cuenta Contable de Abono del Cliente por el monto de la venta más IVA, IEPS y Cargo por entrega</t>
  </si>
  <si>
    <t>Registro del Pago en efectivo por el total de la venta más el impuesto de IVA, IEPS y Cargo por Entrega mientras que lo acumulado en la cuenta del cliente se disminuye</t>
  </si>
  <si>
    <t>Activo -&gt; Bancos -&gt; Bancos Nacionales -&gt; Cuenta contable de Cargo del Banco que registra el pago por el monto de la venta mas el pago de IVA, IEPS, Cargo de Entrega y Propina</t>
  </si>
  <si>
    <t>Registro del Pago en tarjeta por el total de la venta más el impuesto de IVA, IEPS y Cargo por Entrega mientras que lo acumulado en la cuenta del cliente se disminuye</t>
  </si>
  <si>
    <t>Disminución del saldo en banco por concepto del monto de la comisón bancaria el cual es registrado como un gasto financiero</t>
  </si>
  <si>
    <t>Ingresar Factura de Proveedor con relación a una órden de recepción existente</t>
  </si>
  <si>
    <t>Pasivo -&gt; Proveedores -&gt; Proveedor Nacional/Extranjero -&gt; Cuenta contable de Abono del proveedor por el monto de los cargos del proveedor</t>
  </si>
  <si>
    <t>Pasivo -&gt; Proveedores -&gt; Proveedor Nacional/Extranjero -&gt; Cuenta contable de Abono del proveedor por el monto de los impuestos trasladados por el proveedor</t>
  </si>
  <si>
    <t>Activo -&gt; Impuestos acreditables por pagar -&gt; IVA pendiente de pago</t>
  </si>
  <si>
    <t>Activo -&gt; Impuestos acreditables por pagar -&gt; IEPS pendiente de pago</t>
  </si>
  <si>
    <t>Elaboración de Órdenes de Pago</t>
  </si>
  <si>
    <t>Registro del pago por el monto del IVA trasladado por el proveedor</t>
  </si>
  <si>
    <t>Registro del pago por el monto del IEPS trasladado por el proveedor</t>
  </si>
  <si>
    <t>Registro del monto del IVA trasladados del Proveedor</t>
  </si>
  <si>
    <t>Registro del monto del IEPS trasladados del Proveedor</t>
  </si>
  <si>
    <t>Registro del monto de cargos adicionales del Proveedor</t>
  </si>
  <si>
    <t>Costos -&gt; Compras -&gt; Compras Nacionales</t>
  </si>
  <si>
    <t>Registro del pago al proveedor por el monto total de la deuda</t>
  </si>
  <si>
    <t>Pasivo -&gt; Proveedores -&gt; Proveedor Nacional/Extranjero -&gt; Cuenta contable de Cargo del proveedor por el monto de lo adeudado relacionado a la factura</t>
  </si>
  <si>
    <t>Activo -&gt; Impuestos acreditables pagados -&gt; IVA acreditable pagado</t>
  </si>
  <si>
    <t>Activo -&gt; Impuestos acreditables pagados -&gt; IEPS acreditable pagado</t>
  </si>
  <si>
    <t>Activo -&gt; Bancos -&gt; Bancos Nacionales -&gt; Cuenta contable de Abono del Banco que realiza el depósito por el monto del documento incluyendo impuestos y cargos</t>
  </si>
  <si>
    <t>Pasivo -&gt; Proveedores -&gt; Proveedor Nacional/Extranjero -&gt; Cuenta contable de Abono del proveedor por el monto del cargo</t>
  </si>
  <si>
    <t>Se carga a la cuenta del cliente el monto de la venta  sin considerar aún los impuestos que deben ser trasladados</t>
  </si>
  <si>
    <t>Ingreso por la Venta</t>
  </si>
  <si>
    <t>Se marca el monto del documento sin impuestos ni propina como Ingreso</t>
  </si>
  <si>
    <t>Se marca el monto del documento sin impuestos ni propina como Costo</t>
  </si>
  <si>
    <t>Cargo por Propina (Dudas de como se debería cotabilizar)</t>
  </si>
  <si>
    <t>Aumento del costo de venta (calculado según el método de valuación de inventarios) y disminución del activo en el almacén de área de preparación. Se pague o no, el producto ya fue consumido.</t>
  </si>
  <si>
    <t>Emisión de Notas de Crédito</t>
  </si>
  <si>
    <t>Al Proveedor</t>
  </si>
  <si>
    <t>Pasivo -&gt; Proveedores -&gt; Proveedor Nacional/Extranjero -&gt; Cuenta contable de Cargo del proveedor por el monto especificado</t>
  </si>
  <si>
    <t>Ingresos -&gt; Otros ingresos -&gt; Ajuste de Caja</t>
  </si>
  <si>
    <t>Se transfiere el monto del IVA no cobrado a la cuenta del IVA cobrado cuando no se especificó que el cliente requería factura</t>
  </si>
  <si>
    <t>Se transfiere el monto del IEPS no cobrado a la cuenta del IEPS cobrado cuando no se especificó que el cliente requería factura</t>
  </si>
  <si>
    <t>Pasivo -&gt; Impuestos Trasladados  cobrados -&gt; IVA Trasladado</t>
  </si>
  <si>
    <t>Pasivo -&gt; Impuestos Trasladados  cobrados -&gt; IEPS Trasladado</t>
  </si>
  <si>
    <t>Registro de IVA a pagarse (Dudas con este rubro)</t>
  </si>
  <si>
    <t>Registro de IEPS a pagarse
(Dudas con este rubro)</t>
  </si>
  <si>
    <t>Puesto, ID_Sucursal</t>
  </si>
  <si>
    <t>La ubicación pertenece a una Sucursal</t>
  </si>
  <si>
    <t>Integridad Referencial</t>
  </si>
  <si>
    <t>SubCuenta</t>
  </si>
  <si>
    <t>Identificador</t>
  </si>
  <si>
    <t>1. Asignarse usuarios de tipo Almacenista</t>
  </si>
  <si>
    <t>Nombre del área, Impresora, Terminal de Salida, Cuenta Contable de Cargo, Cuenta Contable de Abono</t>
  </si>
  <si>
    <t>1. Asignarse usuarios de tipo Cocinero/Barman</t>
  </si>
  <si>
    <t>Catálogo de Clasificación</t>
  </si>
  <si>
    <t>Catálogo de Clasificación para Registros Maestros, Platillos y Bebidas</t>
  </si>
  <si>
    <t>ID_Clasificación, Registro Maestro(Mercancía, Bebida), Platillo, Bebida, Nombre</t>
  </si>
  <si>
    <t>Esta constituída de - Bebida_Mercancía y Asignada a una clasificación de Bebida</t>
  </si>
  <si>
    <t>Precio no podrá ser menor al costo</t>
  </si>
  <si>
    <t>Tiene - Clasificación de Registro Maestro Bebida</t>
  </si>
  <si>
    <t>Marca</t>
  </si>
  <si>
    <t>Saldo Actual, Cuenta Contable de Cargo, Cuenta Contable de Abono</t>
  </si>
  <si>
    <t>1. Apertura
2. Cierre
3. Arqueo
4. Ajuste a favor/contra
5. Registro de Pagos
6. Asignarse Usuarios de tipo Cajero</t>
  </si>
  <si>
    <t>ID_Caja</t>
  </si>
  <si>
    <t>1. Registrar entradas de dinero en caja (efectivo y pagos con tarjeta) por concepto de ventas y propinas.
2. Ejecutar el corte de caja, que consiste en la realización de los siguientes pasos (cierre, arqueo, registro de diferencias y reapertura de caja) con sus asientos contables correspondientes
3. Elaboración de notas de venta a partir de órdenes de comanda registradas  en el sistema.
4. Elaboración de facturas a partir de notas de ventas</t>
  </si>
  <si>
    <t>Catálogo de los distintos cargos que pueden ser contenidos en la nota de venta emitida al cliente. Cada cargo podrá ser especificado en monto fijo o porcentaje sobre el valor del documento</t>
  </si>
  <si>
    <t>Cargos al Cliente</t>
  </si>
  <si>
    <t>Las notas de venta serán emitidas con los cargos ya considerados, el cajero tendrá la opción de activarlos y especificar el monto en caso de que no sea un porcentaje del valor del documento. Simplemente estos podrán quedar en ceros por default</t>
  </si>
  <si>
    <t>Cargos del Proveedor</t>
  </si>
  <si>
    <t>Cargos</t>
  </si>
  <si>
    <t>Catálogo de los distintos cargos que pueden ser contenidos en la nota de venta emitida al cliente o los emitidos por el proveedor al restaurante. Cada cargo podrá ser especificado en monto fijo o porcentaje sobre el valor del documento</t>
  </si>
  <si>
    <t>En caso de que los cargos al proveedor no sean ingresados en la recepción de mercancías, tendrán que aplicarse en una cuenta contable distinta.</t>
  </si>
  <si>
    <t>Orden de Comanda, Nota de Venta, Factura</t>
  </si>
  <si>
    <t>Persona Fiscal</t>
  </si>
  <si>
    <t>Persona con personalidad fiscal</t>
  </si>
  <si>
    <t>Persona fiscal</t>
  </si>
  <si>
    <t>Fecha de Nacimiento, Fecha de Aniversario</t>
  </si>
  <si>
    <t>Persona de Contacto, Razón Social, Registro Federal de Causantes (RFC), Domicilio Fiscal, Cuenta Contable de Cargo, Cuenta Contable de Abono, Tipo (Cliente, Proveedor)</t>
  </si>
  <si>
    <t>Este es el nivel jerárquico más alto de la organización del sistema de restaurantes.</t>
  </si>
  <si>
    <t>Cliente posee una o varias Sucursales</t>
  </si>
  <si>
    <t>ID_Cliente Sistema</t>
  </si>
  <si>
    <t>1. Recibir órdenes de comanda destinadas para sus areas en específico.
2.Cambiar el estatus de cada órden individual a completada.</t>
  </si>
  <si>
    <t>Fecha/Hora de Apertura, Fecha/Hora de Cierre, Observaciones de la bebida</t>
  </si>
  <si>
    <t>Fecha/Hora de Apertura, Fecha/Hora de Cierre, Observaciones del platillo</t>
  </si>
  <si>
    <t>Caja/Bancos</t>
  </si>
  <si>
    <t>Cuenta Contable de Balance/Resultados la cuál será predefinida en el sistema</t>
  </si>
  <si>
    <t>Cuenta Contable</t>
  </si>
  <si>
    <t>Número de Cuenta, Nombre, Tipo de Cuenta Balance (Activo, Pasivo, Capital), 
Tipo de Cuenta Resultados (Ingresos, Costos, Gastos),
Agrupador SAT</t>
  </si>
  <si>
    <t>Cuenta informativa de aplicación de los asientos contables que impacta a la cuenta contable</t>
  </si>
  <si>
    <t>Número de Cuenta, Nombre, Concepto, ID_Cuenta Contable, Agrupador SAT</t>
  </si>
  <si>
    <t>Asiento Contable</t>
  </si>
  <si>
    <t>1. Los asientos contables no podrán ser cancelados, para ese caso se debería aplicar el movimiento inverso</t>
  </si>
  <si>
    <t>SubCuenta de Cargo, SubCuenta de Abono</t>
  </si>
  <si>
    <t>Tipo de Poliza (Ingreso, Egreso, Diario), SubCuenta Contable, Nombre, Concepto, Cargo, Abono, Suma del Cargo, Suma del Abono</t>
  </si>
  <si>
    <t>Estas cuentas ya estarán predefinidas en el sistema</t>
  </si>
  <si>
    <t>Lista de Tipos de Impuestos, Subtotal</t>
  </si>
  <si>
    <t>1. Una factura Pagada no podrá generar o asociarse a una nueva Órden de Pago
2. Sólo las facturas Verificadas podrán ser mandadas a Pago
3. Las facturas recién ingresadas al sistema están en estatus por verificar
4. Las facturas Rechazadas no podrán ser pagadas</t>
  </si>
  <si>
    <t>Para la forma de pago al proveedor, el usuario del sistema deberá designar la cuenta de Abono que se verá afectada dependiendo de la forma de pago en cuestión. La Cuenta de Cargo quedará por default a la del Proveedor a quien se le realice el pago</t>
  </si>
  <si>
    <t>Para la forma de pago del cliente, el usuario del sistema deberá designar la cuenta de Cargo que se verá afectada dependiendo de la forma de pago en cuestión. La Cuenta de Abono quedará por default a la del Cliente de quien se reciba el pago</t>
  </si>
  <si>
    <t>El sistema dará la opción de registrar para la forma de pago, alguna comisión a ser cubierta por su uso. En caso de que el usuario especifique que si existe una comisión, se solicitará que ingrese un nuevo asiento para contabilizarla, siendo para este asiento la cuenta de Abono aquella que corresponde a la del cargo previamente seleccionada para la forma de pago y la de cargo la designada por el usuario para contabilizar la comisión. Idealmente una de Costos o Gastos</t>
  </si>
  <si>
    <t>El restaurante deberá registrar a un cliente genérico a donde se irán registrando los cargos y sobre el cuál se hará la factura general por los IVAs que no fueron trasladados a clientes que solicitaron factura.</t>
  </si>
  <si>
    <t>Dar la opción de aplicarse al costo del producto en la recepción de mercancías o Contabilizarlos en una cuenta contable diferente
Dado que esta entidad constituye un asiento contable. El usuario deberá especificar la cuenta de Cargo a la que se aplicará este monto, siendo la cuenta de Abono aquella asociada al proveedor de quien se recibe</t>
  </si>
  <si>
    <t>Impuesto</t>
  </si>
  <si>
    <t>Impuesto al Cliente</t>
  </si>
  <si>
    <t xml:space="preserve">Catálogo de los distintos impuestos que pueden ser contenidos en la nota de venta emitida al cliente. </t>
  </si>
  <si>
    <t>Catálogo de los distintos impuestos que pueden ser contenidos en la factura emitida por el proveedor</t>
  </si>
  <si>
    <t>Forman parte de la Factura del Proveedor</t>
  </si>
  <si>
    <t>Dado que esta entidad constituye un asiento contable. El usuario deberá especificar la cuenta de Abono a la que se aplicará este monto, siendo la cuenta de Cargo aquella asociada al cliente a quien se le aplica</t>
  </si>
  <si>
    <t>Dado que esta entidad constituye un asiento contable. El usuario deberá especificar la cuenta de Cargo a la que se aplicará este monto, siendo la cuenta de Abono aquella asociada al proveedor de quien se recibe</t>
  </si>
  <si>
    <r>
      <t xml:space="preserve">Asociado a cada tipo de impuesto se deberán crear las siguientes cuentas auxiliares:
</t>
    </r>
    <r>
      <rPr>
        <b/>
        <sz val="11"/>
        <color theme="1"/>
        <rFont val="Calibri"/>
        <family val="2"/>
        <scheme val="minor"/>
      </rPr>
      <t>Activo Circulante</t>
    </r>
    <r>
      <rPr>
        <sz val="11"/>
        <color theme="1"/>
        <rFont val="Calibri"/>
        <family val="2"/>
        <scheme val="minor"/>
      </rPr>
      <t xml:space="preserve">
acreditable pagado, pagado en importación, pendiente de pago, pendiente de pago en importación
</t>
    </r>
    <r>
      <rPr>
        <b/>
        <sz val="11"/>
        <color theme="1"/>
        <rFont val="Calibri"/>
        <family val="2"/>
        <scheme val="minor"/>
      </rPr>
      <t>Pasivo Circulante</t>
    </r>
    <r>
      <rPr>
        <sz val="11"/>
        <color theme="1"/>
        <rFont val="Calibri"/>
        <family val="2"/>
        <scheme val="minor"/>
      </rPr>
      <t xml:space="preserve">
trasladado, trasladado cobrado, trasladado no cobrado, por pagar</t>
    </r>
  </si>
  <si>
    <t>Descuento</t>
  </si>
  <si>
    <t>Descuento al Cliente</t>
  </si>
  <si>
    <t>Esté catálogo permitirá registrar los distintos tipos de descuentos a considerarse en la compra y venta</t>
  </si>
  <si>
    <t>Parte del cobro de la Nota de Venta, Parte de la Factura al Cliente y del Proveedor</t>
  </si>
  <si>
    <t>Esté catálogo permitirá registrar los distintos tipos de descuentos a otorgársele al cliente</t>
  </si>
  <si>
    <t>Esté catálogo permitirá registrar los distintos tipos de descuentos a recibir del proveedor</t>
  </si>
  <si>
    <t>Impuesto del Proveedor</t>
  </si>
  <si>
    <t>Descuento del Proveedor</t>
  </si>
  <si>
    <t>Dado que esta entidad constituye un asiento inverso contable. El usuario deberá especificar la cuenta de Abono a la que se aplicará este monto, siendo la cuenta de Cargo aquella asociada al proveedor de quien se recibe</t>
  </si>
  <si>
    <t>Dado que esta entidad constituye un asiento inverso contable. El usuario deberá especificar la cuenta de Cargo a la que se aplicará este monto, siendo la cuenta de Abono aquella asociada al cliente a quien se le aplica</t>
  </si>
  <si>
    <t>Perfil de Impuesto</t>
  </si>
  <si>
    <t>Entidad especial para agrupar dos o más impuestos y facilitar la captura de los mismos a los registros maestros. Por ejemplo: Las bebidas pueden causar IVA pero distintos porcentajes de IEPS dado su nivel de alcohol.</t>
  </si>
  <si>
    <t>Contiene uno o más Impuestos</t>
  </si>
  <si>
    <t>ID_Impuesto</t>
  </si>
  <si>
    <t>ID_Registro Maestro, Perfil de Impuesto</t>
  </si>
  <si>
    <t>Registro Maestro, Perfil de Impuesto</t>
  </si>
  <si>
    <t>Clasificación</t>
  </si>
  <si>
    <t>Identificador/Nombre, Mínimo de Comensales, Máximo de Comensales</t>
  </si>
  <si>
    <t>Documento de carácter comercial que se emite principalmente para contrarestar total o parcialmente la afectación contable hecha por una factura dado que por ley está no puede ser cancelada.
Nota de crédito emitida al cliente</t>
  </si>
  <si>
    <t>Documento de carácter comercial que se emite principalmente para contrarestar total o parcialmente la afectación contable hecha por una factura dado que por ley está no puede ser cancelada.
Nota de crédito recibida del proveedor</t>
  </si>
  <si>
    <t>Orden Comanda, Cargo Cliente, Impuesto al Cliente, Descuento al Cliente</t>
  </si>
  <si>
    <t>ID_Orden, Cargo Cliente, ID_Cliente, Impuesto al Cliente, Descuento al Cliente</t>
  </si>
  <si>
    <t>Una nota de venta facturada ya no podrá ser facturada de nuevo</t>
  </si>
  <si>
    <t>Pagada, Por Pagar, No Facturada, Facturada</t>
  </si>
  <si>
    <t>Antes de convertirse en una nota de venta pagada, las afectaciones que la órden de comanda hacen sobre los lamacenes de mercancíasse harán temporalmente en las áreas de preparación las cuales son consideradas como almacenes por el sistema.
La órden deberá estar en estado Cerrada para poder convertirse en Nota de Venta</t>
  </si>
  <si>
    <t>Mientras la órden de comanda no se haya convertido en una nota de venta y esta haya sido pagada. Se hará un asiento contable con cargo al área de cocina por el monto de lo elaborado cuando está orden se haya completado
La orden de cocina deberá estar cerrada para poder cerrar la orden de comanda</t>
  </si>
  <si>
    <t>Mientras la órden de comanda no se haya convertido en una nota de venta y esta haya sido pagada. Se hará un asiento contable con cargo al área de bar por el monto de lo elaborado cuando está orden se haya completado
La orden de bar deberá estar cerrada para poder cerrar la orden de comanda</t>
  </si>
  <si>
    <t>Registro Maestro, Proveedor, Plan de Compra</t>
  </si>
  <si>
    <t>Abierta, Cerrada, Borrador (Estado último estado corresponde únicamente a las Órdenes de compra realizadas mediante un plan de compra)</t>
  </si>
  <si>
    <t>Factura de Proveedor, Forma de Pago a Proveedor,
Descuento del Proveedor</t>
  </si>
  <si>
    <t>Aunque no es la situación recomendable desde el punto de vista proceso, el sistema está preparado para efectuar un pago sobre una órden de recepción en almacén, considerando aquellos proveedores que no extiendan facturas. Para este último caso, el pago podrá incluir adicionalmente al monto de las mercancías en su ingreso, el descuento del proveedor y cargos del proveedor. El impuesto no se podrá agregar en este punto, se requiere una factura</t>
  </si>
  <si>
    <r>
      <rPr>
        <b/>
        <sz val="11"/>
        <color theme="1"/>
        <rFont val="Calibri"/>
        <family val="2"/>
        <scheme val="minor"/>
      </rPr>
      <t>ID_Factura de Proveedor, Forma de Pago al Proveedor</t>
    </r>
    <r>
      <rPr>
        <sz val="11"/>
        <color theme="1"/>
        <rFont val="Calibri"/>
        <family val="2"/>
        <scheme val="minor"/>
      </rPr>
      <t>, Cargos del Proveedor, Descuento del Proveedor</t>
    </r>
  </si>
  <si>
    <t>Dado que esta entidad constituye un asiento contable. El asiento especificará la cuenta de Cargo la relacionada al Proveedor de la Factura/Orden de Recepción por el monto total de la factura o suma de montos adicionales a la Órden de Recepción y la cuenta de Abono aquella relacionada con la Forma de Pago al Proveedor del restaurante</t>
  </si>
  <si>
    <t>Orden de Compra, **Cargos del Proveedor**</t>
  </si>
  <si>
    <r>
      <t>ID_Orden de Compra, Fecha de Ingreso, I</t>
    </r>
    <r>
      <rPr>
        <b/>
        <sz val="11"/>
        <color theme="1"/>
        <rFont val="Calibri"/>
        <family val="2"/>
        <scheme val="minor"/>
      </rPr>
      <t>D_Proveedor, ID_Registro Maestro,  Presentación de Compra, Cantidad, Precio Unitario, Precio Total, ID_Almacen, Cargos del Proveedor</t>
    </r>
  </si>
  <si>
    <t>Los cargos del proveedor únicamente se verán reflejados en el costo en el que las mercancías son ingresadas al almacén
Si se seleccionó que los cargos irian al costo del producto, la regla que se ha de seguir es la siguiente:
1. Se calcula el costo total por tipo de mercancía en la órden (Unidades x Precio Unitario).
2. Se calcula el porcentaje que este monto corresponde al total de la órden del proveedor.
3. Este porcentaje se multiplica por el monto del cargo y el resultado se suma al total calculado en el paso 1.
4. Para obtener el costo unitario del producto, este valor se divide entre el número de unidades ingresadas por tipo de mercancía</t>
  </si>
  <si>
    <t>Dado que esta entidad constituye un asiento contable. El asiento especificará como la cuenta de Cargo, la relacionada al almacén de recepción de mercancías  y la de Abono como aquella relacionada con la cuenta del Proveedor</t>
  </si>
  <si>
    <t>Documento que representa el pago hecho por el cliente hacia el restaurante por un concepto relacionado al consumo de platillos y bebidas</t>
  </si>
  <si>
    <t>Ante el evento de algún asiento contable registrado en la cuenta de Cargos de esta entidad, deberá generarse una contra partida por la misma cantidad en una subcuenta contable de Ingresos.
Ante el evento de algún asiento contable registrado en la cuenta de Abonos de esta entidad, deberá generarse una contra partida por la misma cantidad en una subcuenta contable de Gastos/Costos.</t>
  </si>
  <si>
    <t>Esta consituirá un movimiento en donde existirá precedencia, quiere esto decir que los asientos se aplicarán en órden y conforme se vayan aplicando, se reducirá el monto del pago del cliente de tal suerte que primero se hará asiento sobre los cargos del cliente, siguen los impuestos y por último el valor de la nota de venta menos el descuento
Dado que esta entidad constituye un asiento contable. El asiento especificará como la cuenta de Cargo, la relacionada a la forma de pago seleccionada  y la de Abono como aquella relacionada con la cuenta del Cliente de quien se reciba el pago</t>
  </si>
  <si>
    <t>Mercancía, Clasificación, Area de Preparación</t>
  </si>
  <si>
    <t>Cargos del Proveedor, Descuento del Proveedor, Impuestos del Proveedor</t>
  </si>
  <si>
    <t>Cargos de Proveedor, Cuenta Bancaria, Nacional/Extranjero</t>
  </si>
  <si>
    <t>Un Proveedor bloqueado no podrá ser seleccionado para la creación de Órdenes de Compra, Planes de Compra</t>
  </si>
  <si>
    <t>No podrá ser borrado mientras exista en Platillos activos o haya existencias en el almacén o esté relacionado con algún documento con estatus Activo</t>
  </si>
  <si>
    <t>No podrá ser borrada mientras tenga un saldo diferente de ceros o si su último movimiento se dio durante el año en curso</t>
  </si>
  <si>
    <t>No podrá ser borrada mientras existan elementos activos asociados a ella</t>
  </si>
  <si>
    <t>No podrá borrarse mientras existán InfoRecords asociados a ella</t>
  </si>
  <si>
    <t xml:space="preserve">Dado que esta entidad constituye un asiento contable. El asiento especificará como la cuenta de Cargo, la beneficiaria de la transferencia y la de Abono como aquella relacionada con la emisión de la transferencia </t>
  </si>
  <si>
    <t>Movimiento de recursos en Banco entre cuentas propias o cualquier otro movimiento que represente un egreso o ingreso de efectivo</t>
  </si>
  <si>
    <t>Ante el evento de algún asiento contable registrado en la cuenta de Cargos de esta entidad, deberá generarse una contra partida por la misma cantidad en una subcuenta contable de Ingresos. A menos que el origen del depósito haya sido una transferencia entre cuentas.
Ante el evento de algún asiento contable registrado en la cuenta de Abonos de esta entidad, deberá generarse una contra partida por la misma cantidad en una subcuenta contable de Gastos/Costos.A menos que el el retiro haya sido por una transferencia entre cuentas.</t>
  </si>
  <si>
    <t>Concepto de la Transacción,  Tipo de Cambio, Número de Autorización de la Transferencia</t>
  </si>
  <si>
    <t>Dado que esta entidad constituye un asiento contable. El asiento especificará como la cuenta de Cargo, aquella perteneciente al Almacén de recepción de mercancías y la de Abono como aquel almacén del cual partieron las mercancías</t>
  </si>
  <si>
    <t>En caso de que se trate de transacciones bancarias entre cuentas con tipo de moneda diferente. El usuario está obligado a registrar el tipo de cambio.
No se contempla su cancelación</t>
  </si>
  <si>
    <t>No se contempla su cancelación</t>
  </si>
  <si>
    <t>No se contempla la desactivación del usuario debido a la incapacidad que se tendría para generar auditorías, lo que se podría hacer es remover sus permisos o grupos a los que está asociado</t>
  </si>
  <si>
    <t>Scope</t>
  </si>
  <si>
    <t>Business Model</t>
  </si>
  <si>
    <t>System Model</t>
  </si>
  <si>
    <t>Technology Model</t>
  </si>
  <si>
    <t>Detailed Representations</t>
  </si>
  <si>
    <t>Data</t>
  </si>
  <si>
    <t>Function</t>
  </si>
  <si>
    <t>Network</t>
  </si>
  <si>
    <t>People</t>
  </si>
  <si>
    <t>Time</t>
  </si>
  <si>
    <t>Location</t>
  </si>
  <si>
    <t>What</t>
  </si>
  <si>
    <t>How</t>
  </si>
  <si>
    <t>Where</t>
  </si>
  <si>
    <t>Who</t>
  </si>
  <si>
    <t>When</t>
  </si>
  <si>
    <t>Why</t>
  </si>
  <si>
    <t>Proceso</t>
  </si>
  <si>
    <t>Condición</t>
  </si>
  <si>
    <t>Toma de Órden</t>
  </si>
  <si>
    <t>Proceso mediante el cual se toma la órden que consituye la órden de trabajo para el personal de cocina y/o bar</t>
  </si>
  <si>
    <t>Recepción de órden a Cocina/Bar</t>
  </si>
  <si>
    <t>Proceso en el cuál la órden de la comanda se enruta según el área de preparación de cada platillo y bebida. Las personas encargadas de atender esta órden la trabajan y notifican al mesero de su término</t>
  </si>
  <si>
    <t>Proceso de Toma de Órden</t>
  </si>
  <si>
    <t>Llegada de órden</t>
  </si>
  <si>
    <t>Una vez que el(los) comensal(es) hayan finalizado su consumo, se le notificará al mesero para que proceda a cerrar la órden</t>
  </si>
  <si>
    <t>Los platillos y bebidas hayan sido elaborados y entregados al cliente</t>
  </si>
  <si>
    <t>Cierre de Órden</t>
  </si>
  <si>
    <t>ID_Mesa (Para situaciones en donde esté definida la asignación de mesas a cada mesero), Otorga Descuentos (Valida si el mesero puede otorgar descuentos en el caso de que por configuración no se requiera autorización)</t>
  </si>
  <si>
    <t>Por configuración, en caso de que se ingrese algún valor de descuento en la nota de venta. Se pedirá autorización via usuario/password en caso de que no, esta opción estará limitada por la bandera Otorga Descuentos asociada al mesero
Dado que esta entidad constituye un asiento inverso contable. El usuario deberá especificar la cuenta de Cargo a la que se aplicará este monto, siendo la cuenta de Abono aquella asociada al cliente a quien se le aplica</t>
  </si>
  <si>
    <t>Proceso para trasladar los IVAs al final del dia</t>
  </si>
  <si>
    <t>En este proceso el cliente procede al pago de su consumo</t>
  </si>
  <si>
    <t>Pago de la nota de venta</t>
  </si>
  <si>
    <t>En una buena cantidad de casos el cliente puede optar por solicitar una factura fiscal al restaurante por su consumo</t>
  </si>
  <si>
    <t>Emisión de Factura al Cliente</t>
  </si>
  <si>
    <t>Siempre y cuando pertenezcan a las del día actual</t>
  </si>
  <si>
    <t>1. Paga la nota de venta asociada con su consumo
2. Genera factura en relación a su consumo</t>
  </si>
  <si>
    <t>Entrega de la órden al comensal</t>
  </si>
  <si>
    <t>Una vez notificado, entrega la órden al comensal para su consumo</t>
  </si>
  <si>
    <t>Causa Impuesto? (Esto a fin de que no se genere un cálculo de impuesto a partir de él), Requiere_Autorizacion</t>
  </si>
  <si>
    <t>Por configuración, en caso de que se ingrese algún valor de cargo en la nota de venta. Se pedirá autorización via usuario/password en caso de que no, esta opción estará limitada por la bandera Requiere_Autorizacion
Propina será un cargo del cliente predefinido, dentro de la configuración deberá especificars si se define esta como un monto fijo a ser puesto por el cliente o si bien se calculará automáticamente como un porcentaaje sobre el valor de la órden.
Dado que esta entidad constituye un asiento contable. El usuario deberá especificar la cuenta de Abono a la que se aplicará este monto, siendo la cuenta de Cargo aquella asociada al cliente a quien se le aplica</t>
  </si>
  <si>
    <t>Consulta niveles de inventario</t>
  </si>
  <si>
    <t>En este proceso el usuario del sistema consulta sus niveles existentes de inventario de mercancías y de platillos</t>
  </si>
  <si>
    <t>Para esta sección, el usuario genera la órden de compra para el proveedor por la cantidad de mercancías faltante en su inventario</t>
  </si>
  <si>
    <t>Una vez que el proveedor fue notifcado y surte la órden. La entrega en el almacén de recepción de mercancías a donde se recibe</t>
  </si>
  <si>
    <t>Consulta Niveles de Inventario</t>
  </si>
  <si>
    <t>- El usuario puede restringir la búsqueda de las mercancías sobre las que desea consultar o hacerlo a nivel de los platillos del menú</t>
  </si>
  <si>
    <t>Creación del proveedor</t>
  </si>
  <si>
    <t>Se ingresa al sistema toda la información relacionada con el proveedor a fin de poder elaborar la órden de compra</t>
  </si>
  <si>
    <t>Elaboración de la órden de compra</t>
  </si>
  <si>
    <t>Se seleccionan del catalogo de mercancias las que se requieren comprar del proveedor. Dado que es la primera vez que se compra de él, no es posible saber el costo de ellas sin embargo es posible crear la orden</t>
  </si>
  <si>
    <t>Crear una nueva órden e Ingresar a la órden, platillos y bebidas del menú requeridos por los comensales</t>
  </si>
  <si>
    <t>Término de la órden de cocina o bar</t>
  </si>
  <si>
    <t>Que existan productos (ya sean platillos, bebidas o mercancías) que consultar</t>
  </si>
  <si>
    <t>Los comensales ya estarán asignados a la mesa y asu vez esta mesa estará asociada al mesero. También es necesario que existan platillos y bebidas para seleccionar</t>
  </si>
  <si>
    <t>El personal es notificado de la llegada de una nueva órden y queda a la espera de su terminación. Las órdenes tienen un órden de llegada y tiempo que permanecen en fila a la espera de ser atendidas</t>
  </si>
  <si>
    <t>Notificación de orden lista para el mesero</t>
  </si>
  <si>
    <t>El mesero tendrá una serie de platillos o bebidas pendientes para ser recogidas y proporcionadas al cliente</t>
  </si>
  <si>
    <t>Información detallada de los niveles de inventario</t>
  </si>
  <si>
    <t>El proveedor es notificado de la órden de compra hacia él y procede a surtirla, por lo general cada proveedor tiene una cantidad de días promedio para surtir</t>
  </si>
  <si>
    <t>Recepción de Mercancías</t>
  </si>
  <si>
    <t>Como parte de la recepción al Proveedor se le solicitará que facilite la órden de compra que esta surtiendo para estar en el mismo contexto. El proveedor la da y además un documento expedido por él en donde hace constar las mercancías que está proporcionando y más importante aún el precio a la que las esta dando. El almacenista sólamente verifica que la cuenta esté correcta entre lo que el proveedor dice entregar y lo que efectivamente entrega y les dá entrada.</t>
  </si>
  <si>
    <t>En la entrada de mercancías, estas son asignadas a un almacén y por el tipo de mercancía de la que se trata ya existe una ubicación predefinida. Las mercancías entran con un costo y en caso de que haya algún cargo adicional, se tomará en cuenta. Dado que estamos hablando de mercancías en su mayor parte perecederas, se especifica una fecha de ingreso.</t>
  </si>
  <si>
    <t>Cocinero/
Barman</t>
  </si>
  <si>
    <t>Usuario de 
Compras</t>
  </si>
  <si>
    <t>Se pudiera manejar una notificación en donde los almacenistas sepan que la mercancía fue ingresada al almacén</t>
  </si>
  <si>
    <t>En esta situación el proveedor solicita el pago al restaruante por el monto de su entrega</t>
  </si>
  <si>
    <t>El pago para el proveedor puede salir de inmediato o no, esto depende de que tanto se tome esta negociación en caso de haber diferencias pero tambien depende si el proveedor maneja días de crédito lo cual siempre es beneficioso si lo que se busca es el apalancamiento</t>
  </si>
  <si>
    <t>Envío de Factura/OC</t>
  </si>
  <si>
    <t>Verificación de Factura/OC</t>
  </si>
  <si>
    <t>Ingreso de mercancías</t>
  </si>
  <si>
    <t>Este proceso se refiere a lo que se debe tomar en cuenta una vez que nueva mercadería entra al almacén, muy independiente del proceso de recibir y contabilizar</t>
  </si>
  <si>
    <t>En caso de que todo este en órden el proveedor puede confiadamente cobrar lo órdenado por el restaruante pero sino es necesario especificar que esta recepción trae diferencias en las cantidades ingresadas o simplemente que ciertos productos de los ordenados no están siendo surtidos</t>
  </si>
  <si>
    <t xml:space="preserve">Aquí esta la situación de los proveedores que envían y los que no envían facturas, para los que le envían facturas al restaurante, especifican de manera clara los impuestos que se causan por las mercancías y sobretodo si se tratan de alcoholes. Para los que no entregan factura, la única forma en la que pueden solicitar su pago es mediante la órden de compra. </t>
  </si>
  <si>
    <t>El detalle es que para evitar problemas el restaurante ha de comparar cualquiera de estos dos documentos contra lo que en verdad se recibió. Si hay diferencias, se tienen que aclarar y acordar el pago</t>
  </si>
  <si>
    <t>En este paso el restaurante genera el pago para el proveedor. El sistema soporta dos métodos, por medio de transferencia bancaria y por cheque.</t>
  </si>
  <si>
    <t>Generar pago a proveedor</t>
  </si>
  <si>
    <t>Para este caso es imperativo que se genere una verificación, ya sea de factura vs recepción de mercancías u órden de compra vs recepción de mercancías. El pago podrá ser por medio de una transferencia bancaria o cheque aunqe por supuesto estas operaciones no se realizarán dentro del sistema. El sistema registrará su aplicación para propósitos de auditoría</t>
  </si>
  <si>
    <t>Antecedente</t>
  </si>
  <si>
    <t>Acción</t>
  </si>
  <si>
    <t>El mesero comensará por especificar información tal como la mesa que está siendo usada, el número de comensales y en automático se registrará la fecha y hora. Suponiendo que los comensales ya saben lo que ordenarán, el mesero toma el detalle de los productos y bebidas, sus cantidades y anotaciones especiales en caso de qeu alún elemento requiera alguna preparación especial.</t>
  </si>
  <si>
    <t>Al momento de que todos hayan órdenados, el mesero guarda la órden y esto servirá para enviar la notificación a aquellas áreas del restaurante que se encargarán de preparar los platillos y/o bebidas solicitados.</t>
  </si>
  <si>
    <t>Historia Antes</t>
  </si>
  <si>
    <t>Historia Después</t>
  </si>
  <si>
    <t>Ya sea por medio de un ticket que sea impreso en el área de preparación o por medio de una consulta de un monitor, los conieros/barman recibirán la notificación de los productos que deben preparar en atención a la órden generada</t>
  </si>
  <si>
    <t>Una vez completada la órden, el usuario la dará por terminada. Este paso autmáticamente notificará al mesero (el cuál originó) el pedido que este último ha sido completado.</t>
  </si>
  <si>
    <t>El mesero recibirá la notificación para recoger los productos y hacerlos disponibles al cliente para su consumo</t>
  </si>
  <si>
    <t>Recogerá los platillos/bebidas y los dará al cliente</t>
  </si>
  <si>
    <t>El mesero cierra la órden. En este momento se genera en automático una nota venta con relación a la órden y hasta este punto será posible agregar dependiendo del caso información tal como cargos adicionales, descuentos y seleccionar si esta corresponderá a un consumo que será cobrado o no.</t>
  </si>
  <si>
    <t>Al ejecutarse este paso ya no podrán agregarse más elementos a la órden y se podrá cobrar al cliente.
Los descuentos y cargos quedarán a discreción del mesero sin embargo para ambos casos se requerirá autorización con el fin de evitar malos manejos</t>
  </si>
  <si>
    <t>También deberá conocer si el cliente solicitará una factura fiscal por su consumo para lo que se le requerirá su información fiscal (Razón Social, RFC, Domicilio fiscal)
'- Nota de Venta(s)</t>
  </si>
  <si>
    <t>Cierre de órden</t>
  </si>
  <si>
    <t>En caso de que corresponda a un consumo que será pagado, el cliente procederá a pagar en efectivo o alguna otra forma de pago electrónica (tarjeta de crédito, debito) así como especificará el monto que dará de propina por el servicio recibido</t>
  </si>
  <si>
    <t xml:space="preserve">El mesero recibirá el pago y lo llevará a caja en donde se aplicará el cobro. </t>
  </si>
  <si>
    <t>En este paso se recibe el pago del cliente y se marca la nota de venta como pagada</t>
  </si>
  <si>
    <t>Recepción del Pago</t>
  </si>
  <si>
    <t>Al recibirse el pago se marca la nota de venta asociada al consumo como pagada y se refleja la entrada de dinero al restaurante como un ingreso independientementede la forma de pago</t>
  </si>
  <si>
    <t>En el plan de compra, el sistema consultará los niveles de inventario actuales de las mercancías con respecto al cálculo de su punto de reorden. Este proceso genera una serie de órdenes de compra en borrador las cuales pueden ser promovidas a órdenes reales que serán enviadas al cliente</t>
  </si>
  <si>
    <t>Información de proveedores y mercancías en el sistema. Designación de proveedores como preferidos para la generación de planes de compra</t>
  </si>
  <si>
    <t>Presentación de Compra, Presentación de Inventario, Equivalencia entre ambas presentaciones, Unidad de Medida</t>
  </si>
  <si>
    <t>Ejecución de plan de compra</t>
  </si>
  <si>
    <t>El sistema hace un cálculo de las existencias actuales de mercancía y con base a sus niveles de consumo actuales cálcula su punto de reorden:
El Punto de reorden para cada Mercancía será calculado mediante la fórmula: Punto de reorden = (consumo promedio diario * tiempo de entrega) + inventario de seguridad.
Siento tiempo de entrega:
Tiempo de procesamiento de la orden de compra (work days) - Información configurable en el sistema
Tiempo estimado de entrega (calendar days) - Valor asignado a cada proveedor
Tiempo estimado de recepcion de mercancias (incluye almacenaje) (work days) - Informacion configurable en el sistema</t>
  </si>
  <si>
    <t>Si las existencias actuales de mercancía se encuentran cercanas al punto de reorden, se realiza una órden de compra por la cantidad de mercancías necesarias (ya sea el tamaño mínimo de la órden al proveedor o el número de existencias necesarias y configuradas en el producto)</t>
  </si>
  <si>
    <t xml:space="preserve">Registro Maestro, Presentación, </t>
  </si>
  <si>
    <t>Sólo puede existir un proveedor preferido para cada registro maestro. Esta información es necesaria para la generación de planes de compra</t>
  </si>
  <si>
    <t>InfoRecordProveedor_RegistroMaestro</t>
  </si>
  <si>
    <t>Este es un registro de creación automática al momento de generar una órden de compra a un proveedor por determinada mercancía y puede ser manualmente administrado en el sistema. Este registro controla la relación específica entre un proveedor y una mercadería particular</t>
  </si>
  <si>
    <t>Proveedor, Registro_Maestro</t>
  </si>
  <si>
    <t>Proveedor, Registro Maestro, Última Orden de Compra, Fecha Ultima órden de compra, Último Precio, Proveedor Preferido</t>
  </si>
  <si>
    <t>Quizás sea necesario que este sea un proceso que se ejecute en el background debido a la carga de procesamiento que conlleva</t>
  </si>
  <si>
    <t>Tomando en cuenta que los proveedores para cada órden de compra ya están designados, el usuario simplemente puede optar por revisar las órdenes y aplicarlas, significando que son enviadas a los proveedores correspondientes</t>
  </si>
  <si>
    <t>Generación de planes de compra</t>
  </si>
  <si>
    <t>Aprobación de Planes de compra</t>
  </si>
  <si>
    <t>Los planes de compra son seleccionados y aprobados</t>
  </si>
  <si>
    <t>Se generan órdenes de compra de aquellos planes aprobados</t>
  </si>
  <si>
    <t>El usuario pudiera borrar los planes de compra que no desea convertir. O dejarlos activos en el sistema aunque no conlleva acción alguna</t>
  </si>
  <si>
    <t>Administración entre el proveedor y mercancía</t>
  </si>
  <si>
    <t>Ante la creación de una órden de compra, será posible administrar el registro resultante entre el proveedor y la mercancía que se adquirió por medio de él</t>
  </si>
  <si>
    <t>La recepción de mercancías también actualizarán información para este registro en el rubro del precio de la mercancía</t>
  </si>
  <si>
    <t>La creación de la órden de compra entre el proveedor y la mercancía genererará el registro automáticamente en el sistema en caso de que no lo haya</t>
  </si>
  <si>
    <t>Para posteriores compras, habrá información que será automáticamente llenada en función de este registro</t>
  </si>
  <si>
    <t xml:space="preserve">Crear órden de comanda </t>
  </si>
  <si>
    <t xml:space="preserve">El mesero comensará por especificar información tal como la mesa que está siendo usada, el número de comensales y en automático se registrará la fecha y hora. </t>
  </si>
  <si>
    <t>Padre_Platillo_Bebida</t>
  </si>
  <si>
    <t>Bebida, Platillo</t>
  </si>
  <si>
    <t>Entidad padre de la agrupación de ingredientes o bebidas que conforman un platillo o bebida. Esta entidad es entendible como un padre hijo dentro de un esquema físico de base de datos</t>
  </si>
  <si>
    <t>ID_Ingrediente Mercancía, Cantidad</t>
  </si>
  <si>
    <t xml:space="preserve">ID_Bebida_Mercancía, Cantidad, Clasificación, </t>
  </si>
  <si>
    <t>ID_Padre_Platillo_Bebida, Tipo(Platillo, Bebida), Precio, Inventariable?, Subpreparación, Area de Preparación</t>
  </si>
  <si>
    <t>Proceso de Creación del documento padre de los demás documentos del sistema</t>
  </si>
  <si>
    <t>1. Seleccionar el elemento de la lista existente de platillos y bebidas
2. Especificar la cantidad para cada platillo/bebida
3. Especificar comentarios particulares respecto a la preparación de cada platillo/bebida</t>
  </si>
  <si>
    <t>Postcondición</t>
  </si>
  <si>
    <t>El cocinero o barman es notificado y trabaja para completar la órden</t>
  </si>
  <si>
    <t>Guardar órden de comanda para su envío a cocinero/barman</t>
  </si>
  <si>
    <t>Proceso mediante el que se aplican los cambios a la órden de comanda y se notifica al personal de cocina/bar</t>
  </si>
  <si>
    <t>1. Ingresar los atributos de la entidad.
2. Cambiar estatus de la órden a Abierta</t>
  </si>
  <si>
    <t>Acciones de la Postcondición</t>
  </si>
  <si>
    <t>1. Cambiar estatus de la órden a En Proceso</t>
  </si>
  <si>
    <t>Agregar Platillos/Bebidas al documento</t>
  </si>
  <si>
    <t>Notificación de Órden a área de preparación</t>
  </si>
  <si>
    <t>Orden</t>
  </si>
  <si>
    <t>Acciones del padre</t>
  </si>
  <si>
    <t>Guardar Documento</t>
  </si>
  <si>
    <t>Proceso de Guardado del documento padre de los demás documentos del sistema</t>
  </si>
  <si>
    <t>1. Consultar hardware de salida según el área de preparación en cuestión. 
2. Enviar cada uno de los elementos de la órden según el área de preparación.
3. La orden de cocina/bar es creada con estatus Abierta</t>
  </si>
  <si>
    <t>1. La orden de cocina/bar es cambiada con estatus Completada</t>
  </si>
  <si>
    <t>Notificación del sistema entre un origen y destino en donde como parámetro de entrada se incluye un objeto de tipo Documento</t>
  </si>
  <si>
    <t>Notificación</t>
  </si>
  <si>
    <t>Entidad que contiene un origen y un destino, siendo objetos cada uno de ellos y el mensaje enviado es un Documento o un Documento y un mensaje de cambio de status</t>
  </si>
  <si>
    <t>Objeto Origen, Objeto Destino, Documento, CambioStaus?</t>
  </si>
  <si>
    <t>Notificación de Documento Creado / Cambio de Status en Documento</t>
  </si>
  <si>
    <t>1. Determinación del origen,
2. Determinación del destino,
3. Determinación del mensaje (documento)
4. Especificar si existe un cambio de estatus en el documento</t>
  </si>
  <si>
    <t>Crear y Modificar Password, Asignar/Desasignar a Perfiles, Envía Mensajes, Recibe Mensajes</t>
  </si>
  <si>
    <t>Acción mediante la cual el documento cambia de estatus para su posterior procesamiento y no permite modificación ni alteración por parte de los usuarios del sistema</t>
  </si>
  <si>
    <t>La órden de comanda se cerrará para que pueda ser cobrada</t>
  </si>
  <si>
    <t>1. Registro de Fecha y Hora de última modificación
2. Actualizar el monto total del documento al número y valor de los elementos que lo integran</t>
  </si>
  <si>
    <t>1. Se verifica que el documento en cuestión provenga de un estado Guardado
2. Se aplicarán ya sea la transacción, movimiento o asiento contenido en el documento.
3. El documento se guarda con un estatus que impida su posterior modificación o alteración</t>
  </si>
  <si>
    <t>Cerrar Documento</t>
  </si>
  <si>
    <t>Crear Nota de Venta</t>
  </si>
  <si>
    <t>1. Para el caso del cierre de órden de comanda, el movimiento que aplica es el movimiento de mercancías del almacén general a cada uno de las áreas de preparación</t>
  </si>
  <si>
    <t>Fecha,  Hora,  ID_Sucursal, Clave de Folio, Numeración Folio, ID Usuario, Monto Total, Documento Origen</t>
  </si>
  <si>
    <t>La nota de venta se generará a partir de un documento de órden de comanda que se encuentre en un estado Cerrado</t>
  </si>
  <si>
    <t>Crear Documento</t>
  </si>
  <si>
    <t>Tipo de Consumo</t>
  </si>
  <si>
    <t>Este catálogo permitirá seleccionar al personal que elabore la nota de venta, el tipo de consumo sobre el cual se asentará la nota. Dicho de otra manera el asiento contable que se realizará dependiendo si la nota de venta es para consumo interno, cortesía, venta, etc.</t>
  </si>
  <si>
    <t xml:space="preserve">1. Solamente se podrán generar facturas a usuarios previamente registrados en este catálogo.
</t>
  </si>
  <si>
    <t>ID_TipoConsumo, Nombre</t>
  </si>
  <si>
    <t>Registro de Pago</t>
  </si>
  <si>
    <t>Mediante esta acción, se captura el pago del cliente a una nota de compra</t>
  </si>
  <si>
    <t>Aplicación de un Movimiento contable originado por movimientos de efectivo en bancos o cajas y/o movimientos de almacén por concepto de entradas/salidas de mercancías</t>
  </si>
  <si>
    <t>Aplicar Asiento Contable</t>
  </si>
  <si>
    <t>1. El sistema especificará la subcuenta de cargo para la transacción así como la subcuenta de abono.
2. El monto asociado con el documento que esta acción recibe como parámetro será aplicado en la subcuenta de cargo y la subcuenta de abono especificada.</t>
  </si>
  <si>
    <t>Este proceso corresponde a la funcionalidad que hará movimiento de entrada/salida de mercancías en el almacén en la contabilidad</t>
  </si>
  <si>
    <t>1. Esta acción actualizará a nivel de registro maestro las existencias en almacén a fin de no realizar un cálculo de transacciones cada vez que se requiera conocer este valor</t>
  </si>
  <si>
    <t>Método</t>
  </si>
  <si>
    <t>Método Relacionado</t>
  </si>
  <si>
    <t>Clase de pertenencia</t>
  </si>
  <si>
    <t>Método Padre</t>
  </si>
  <si>
    <t>Parámetros del Padre</t>
  </si>
  <si>
    <t>Atributos de la Clase</t>
  </si>
  <si>
    <t>Proceso de entrada o salida de efectivo en la caja del sistema</t>
  </si>
  <si>
    <t>Aplicar Movimiento de Caja</t>
  </si>
  <si>
    <t>Transacción de Caja</t>
  </si>
  <si>
    <t>Movimiento de efectivo en Caja que represente un egreso o ingreso de efectivo</t>
  </si>
  <si>
    <t>1. Esta acción actualizará el saldo actual de la caja a fin de no realizar un cálculo de transacciones cada vez que se requiera conocer este valor</t>
  </si>
  <si>
    <t>Proceso de entrada o salida de efectivo en una cuenta bancaria del sistema</t>
  </si>
  <si>
    <t>Monto Fijo, Porcentaje sobre operación, Cuenta Contable de Órden (Sin embargo estará limitada a ser una cuenta asociada a Pago de Comisiones), Cuenta Bancaria donde se registra el Pago</t>
  </si>
  <si>
    <t>Aplicar Movimiento de Banco</t>
  </si>
  <si>
    <t>1. Esta acción actualizará el saldo actual de la cuenta bancaria a fin de no realizar un cálculo de transacciones cada vez que se requiera conocer este valor</t>
  </si>
  <si>
    <t>1. El usuario tomará como base la órden de comanda a partir de la cual se generará el documento
2. El usuario seleccionará el cliente al cual se le generará la nota
3. El usuario seleccionará el tipo de consumo y por lo tanto el tipo de asiento que se deberá aplicar.
4. El usuario agregará a este documento la información concerniente a Cargos, Impuestos y Descuentos del Cliente
5. La nota de venta se generará con un estatus Abierto</t>
  </si>
  <si>
    <t>1. Dependiendo de la forma de pago especificada en la nota de venta, se podrá optar por generar un movimiento en Caja o en Bancos.
2. Ante la exitosa ejecución de este paso, el estatus de la nota de Venta es promovida a un estatus de Cerrada</t>
  </si>
  <si>
    <t>Cerrar Nota de Venta</t>
  </si>
  <si>
    <t>Cerrar Órden de Comanda</t>
  </si>
  <si>
    <t>La nota de venta se cerrará indicando que ha sido cobrada y podrá ser facturada</t>
  </si>
  <si>
    <t>1. Para el caso del cierre de la nota de venta, el movimiento que aplica es el movimiento de mercancías del almacén de cada uno de las áreas de preparación al asiento correspondiente según el tipo de consumo</t>
  </si>
  <si>
    <t>Suponiendo que los comensales ya saben lo que ordenarán, el mesero toma el detalle de los productos y bebidas, sus cantidades y anotaciones especiales en caso de que algún elemento requiera alguna preparación especial.</t>
  </si>
  <si>
    <t>Crear Factura</t>
  </si>
  <si>
    <t>Emitir Notificación de Órden completada a mesero</t>
  </si>
  <si>
    <t>Emitir Notificación de Órden a área de preparación</t>
  </si>
  <si>
    <t>Emitir Notificación de Documento Creado / Cambio de Status en Documento</t>
  </si>
  <si>
    <t>Proceso de creción de factura para el cliente tomando como referencia la nota de venta</t>
  </si>
  <si>
    <t>3.1.2</t>
  </si>
  <si>
    <t>3.1.1</t>
  </si>
  <si>
    <t>1. El usuario tomará como base la nota de venta a partir de la cual se generará el documento
2. La nota de venta cambiará su estatus a Facturada a fin de evitar una refacturación
3. La factura se creará con un estatus de Aplicada</t>
  </si>
  <si>
    <t>Crear Orden de Compra</t>
  </si>
  <si>
    <t>Proceso de creación de la órden de compra para el proveedor</t>
  </si>
  <si>
    <t>Agregar Mercancías a documento</t>
  </si>
  <si>
    <t>1. Ingresar los atributos del documento por medio de Agregar Mercancías a documento.
2. La órden queda creada con un estatus de Abierta</t>
  </si>
  <si>
    <t>Mediante esta acción es posible agregar mercancías a un documento del sistema</t>
  </si>
  <si>
    <t>1. Seleccionar el elemento de la lista existente de mercancías
2. Especificar la presentación, cantidad, precio unitario
3. Calcular el Precio Total</t>
  </si>
  <si>
    <t>1. El usuario tomará como base la órden de compra a partir de la cual se generará el documento, en caso de no existir documento base se tendrá que completar manualmente.
2. El usuario ingresará las cantidades y productos efectivamente recibidos
3. El precio de las mercancías se tomarán del último InfoRecord existente o será ingresado manualmente
4. El usuario agregará a este documento la información concerniente a Cargos del Proveedor
5. La orden de recepción se generará con un estatus Abierto</t>
  </si>
  <si>
    <t>Crear Órden de Recepción</t>
  </si>
  <si>
    <t>1. Registro de Fecha y Hora
2. Asignación de sucursal en función a la activa por el usuario registrado
3. Generación del folio según el tipo de documento del que se trate
4. Actualización del último folio disponible para el documento en cuestión
5. Asignación al documento del usuario actualmente registrado
6. Registrar el monto total del documento a ceros
7. Si existe un documento origen del documento actual, este cambiará a un estatus que impida su posterior modificación
8. El documento actual se crea con un estatus abierto</t>
  </si>
  <si>
    <t>Documento que se emite ante la recepción de mercancías en el almacén</t>
  </si>
  <si>
    <t>Aplicar movimiento de almacén</t>
  </si>
  <si>
    <t>Transacción de almacén</t>
  </si>
  <si>
    <t>Aplicar Movimiento de Almacén</t>
  </si>
  <si>
    <t>Ingresar Factura de Proveedor</t>
  </si>
  <si>
    <t>1. El usuario tomará como base la órden de recepción a partir de la cual se generará el documento, en caso de no existir documento base se tendrá que completar manualmente.
2. El usuario agregará a este documento la información concerniente a Cargos del Proveedor e Impuestos cobrados
3. La factura se generará con un estatus Abierto</t>
  </si>
  <si>
    <t>Verificar Factura de Proveedor</t>
  </si>
  <si>
    <t>Ingreso de la Factura emitida por el proveedor tomando como referencia una órden de recepción</t>
  </si>
  <si>
    <t>En este paso simplemente se compara la información de la órden de recepción contra la factura a fin de oficializar el proceso de pago al proveedor</t>
  </si>
  <si>
    <t>1. Se comparan los montos en cantidades, precios unitarios y totales de las mercancías listadas en la factura.
2. Se calculan automáticamente los impuestos.
3. Se comparan los montos con cargos incluídos
4. De existir diferencias se puede optar por asociar algún documento de nota de crédito</t>
  </si>
  <si>
    <r>
      <t xml:space="preserve">ID_Proveedor, Folio de factura del proveedor (propia del proveedor), </t>
    </r>
    <r>
      <rPr>
        <b/>
        <sz val="11"/>
        <color theme="1"/>
        <rFont val="Calibri"/>
        <family val="2"/>
        <scheme val="minor"/>
      </rPr>
      <t xml:space="preserve">Cargos de Proveedor, Monto del Cargo </t>
    </r>
    <r>
      <rPr>
        <sz val="11"/>
        <color theme="1"/>
        <rFont val="Calibri"/>
        <family val="2"/>
        <scheme val="minor"/>
      </rPr>
      <t>(en caso de que no fueran considerados en la recepción de mercancías), Folio de Comprobante de Aprobación/Verificacion (obtenido de SAT)</t>
    </r>
  </si>
  <si>
    <t>Ingresar Nota de Crédito de Proveedor</t>
  </si>
  <si>
    <t>Ingreso de la Nota de Credito emitida por el proveedor tomando como referencia una factura</t>
  </si>
  <si>
    <t>1. El usuario tomará como base la factura del proveedor a partir de la cual se generará el documento, en caso de no existir documento base se tendrá que completar manualmente.
2. El documento se generará con un estatus Abierto</t>
  </si>
  <si>
    <t>Aplicar Pago</t>
  </si>
  <si>
    <t>Mediante este proceso se emite un pago al proveedor por concepto de las mercancías adquiridas</t>
  </si>
  <si>
    <t>1. Dependiendo de la forma de pago especificada para el proveedor, se podrá optar por generar un movimiento en Bancos o emitir un Cheque.
2. Ante la exitosa ejecución de este paso, el estatus de la Factura del Proveedor es promovida a un estatus de Cerrada</t>
  </si>
  <si>
    <t>Los cambios de estatus  entre clases deberán ser monitoreados</t>
  </si>
  <si>
    <t>El sistema ofrecerá la funcionalidad de registrar movimientos de efectivo en Caja, los cuales pueden consistir en cargos o abonos generados apartir de movimientos contables relacionados a ventas y pagos por parte de clientes y propinas principalmente, aunque se permitirán registrar movimientos de forma externa.</t>
  </si>
  <si>
    <t>Creación de Orden de Compra</t>
  </si>
  <si>
    <t>Creación de Proveedor</t>
  </si>
  <si>
    <t>Recepción de mercacías del proveedor</t>
  </si>
  <si>
    <t>Movimiento de Ingreso al Almacén</t>
  </si>
  <si>
    <t>Verificación de Factura del Proveedor</t>
  </si>
  <si>
    <t>Emisión de Pago al Proveedor</t>
  </si>
  <si>
    <t>Creación de Plan de Compra</t>
  </si>
  <si>
    <t>Creación de Órden de Compra apartir de Plan de Compra</t>
  </si>
  <si>
    <t>Emisión de Factura del Cliente</t>
  </si>
  <si>
    <t>Recepción de Pago en Caja</t>
  </si>
  <si>
    <t>Creación de Nota de Venta</t>
  </si>
  <si>
    <t>Cargos extras en la orden. Capacidad del sistema de manejar una serie predefinida de conceptos por los cuales se hara un cargo extra al cliente, por ejemplo cargos de envío para pedidos a domicilio</t>
  </si>
  <si>
    <t>Recepción de Factura del Proveedor</t>
  </si>
  <si>
    <t>Dentro edl proceso de verificación de factura se ha de considerar la situacion en que se deban solventar diferencias entre la factura y lo ingresado mediante la recepción de notas de crédito del proveedor</t>
  </si>
  <si>
    <t>El corte de caja es un documento que se emite al final del turno de caja en donde se establece el saldo total en efectivo en la caja en función de los movimientos de entrada en la misma.</t>
  </si>
  <si>
    <t>Usuario de Caja</t>
  </si>
  <si>
    <t>Comunicación entre objetos - Mediator</t>
  </si>
  <si>
    <t>El cierre de caja consta de pasos muy bien identificables porque se asocian a actividades que suceden de manera física:
1. Proceso de Cierre - La Caja cambia de estatus y no se pueden realizar operaciones sobre la misma.
2. Proceso de Arqueo - La caja  físicamente se abre para permitir la contabilizacion real contra lo estipulado en el sistema.
3. Proceso de Registro de Diferencias - En caso de existir diferencias entre lo real  lo registrado se deberá generar un documento de diferencias en donde se estipule la cantidad faltante o sobrante y se procedan a hacer los movimientos respectivos
4. Reapertura, se inicia la caja con un saldo inicial y se permite volver a recibir pagos</t>
  </si>
  <si>
    <t>Cierre de Caja</t>
  </si>
  <si>
    <t>Registro de Diferencias</t>
  </si>
  <si>
    <t>Apertura de Caja</t>
  </si>
  <si>
    <t>Proceso de Cierre - La Caja cambia de estatus y no se pueden realizar operaciones sobre la misma.</t>
  </si>
  <si>
    <t>Proceso de Arqueo - La caja  físicamente se abre para permitir la contabilizacion real contra lo estipulado en el sistema.</t>
  </si>
  <si>
    <t>Proceso de Registro de Diferencias - En caso de existir diferencias entre lo real  lo registrado se deberá generar un documento de diferencias en donde se estipule la cantidad faltante o sobrante y se procedan a hacer los movimientos respectivos</t>
  </si>
  <si>
    <t>Reapertura, se inicia la caja con un saldo inicial y se permite volver a recibir pagos</t>
  </si>
  <si>
    <t>El usuario tiene la facilidad de ingresar los montos existentes en caja</t>
  </si>
  <si>
    <t>La caja queda bloqueada y no es posbile accederla a menos que se reaperture</t>
  </si>
  <si>
    <t xml:space="preserve">Creación del Documento de Corte de Caja que será enviado al usuario designado. Algún usuario con privilegios superiores al de Caja deberá dar constancia de las diferencias encontradas  </t>
  </si>
  <si>
    <t>Movimiento de Salida del Almacén</t>
  </si>
  <si>
    <t>Salida de mercancías</t>
  </si>
  <si>
    <t>Este proceso se refiere a lo que se debe tomar en cuenta una vez que nueva mercadería sale al almacén</t>
  </si>
  <si>
    <t>En la salida de mercancías, estas salen con un costo que corresponde seg[un el metodo de valuacion de inventarios (LIFO, FIFO o Costo promedio)</t>
  </si>
  <si>
    <t>Folio</t>
  </si>
  <si>
    <t>Costo Unitario</t>
  </si>
  <si>
    <t>F0001</t>
  </si>
  <si>
    <t>F0002</t>
  </si>
  <si>
    <t>F0003</t>
  </si>
  <si>
    <r>
      <t xml:space="preserve">Concepto de la Transacción, , ID Almacen Entrada,  ID Almacen Salida,  Cantidad, Costo Unitario, Costo Total, Id_Mercancía, </t>
    </r>
    <r>
      <rPr>
        <b/>
        <sz val="11"/>
        <color theme="1"/>
        <rFont val="Calibri"/>
        <family val="2"/>
        <scheme val="minor"/>
      </rPr>
      <t>Saldo</t>
    </r>
  </si>
  <si>
    <t>Internamente se genera un documento de entrada por cada mercancía. Es necesario registrar el Folio de Entrada, Fecha de Ingreso, Costo Unitario, Cantidad y Costo Total. Adicionalmente se usará un campo Cantidad Saldo y Costo Total Saldo el cual consistirá inicialmente en la Cantidad y Costo Total de lo ingresado que eventualmente se irá disminuyendo hasta llegar a ceros en el proceso de salida del almacén</t>
  </si>
  <si>
    <r>
      <t xml:space="preserve">1. Revisar la cantidad a disminuirse del inventario
</t>
    </r>
    <r>
      <rPr>
        <b/>
        <sz val="10"/>
        <color theme="1"/>
        <rFont val="Calibri"/>
        <family val="2"/>
        <scheme val="minor"/>
      </rPr>
      <t>Si el método de valuación es FIFO:</t>
    </r>
    <r>
      <rPr>
        <sz val="10"/>
        <color theme="1"/>
        <rFont val="Calibri"/>
        <family val="2"/>
        <scheme val="minor"/>
      </rPr>
      <t xml:space="preserve">
2.Comparar la cantidad contra el saldo actual del primer registro para la mercancía cuyo saldo sea mayor a cero (ordenado de menos a mas reciente)
</t>
    </r>
    <r>
      <rPr>
        <b/>
        <sz val="10"/>
        <color theme="1"/>
        <rFont val="Calibri"/>
        <family val="2"/>
        <scheme val="minor"/>
      </rPr>
      <t>Si el método de valuación es LIFO:</t>
    </r>
    <r>
      <rPr>
        <sz val="10"/>
        <color theme="1"/>
        <rFont val="Calibri"/>
        <family val="2"/>
        <scheme val="minor"/>
      </rPr>
      <t xml:space="preserve">
2.Comparar la cantidad contra el saldo actual del primer registro para la mercancía cuyo saldo sea mayor a cero (ordenado de mas a menos reciente)
</t>
    </r>
    <r>
      <rPr>
        <b/>
        <sz val="10"/>
        <color theme="1"/>
        <rFont val="Calibri"/>
        <family val="2"/>
        <scheme val="minor"/>
      </rPr>
      <t xml:space="preserve">Si el método de valuación es Costo Promedio:
</t>
    </r>
    <r>
      <rPr>
        <sz val="10"/>
        <color theme="1"/>
        <rFont val="Calibri"/>
        <family val="2"/>
        <scheme val="minor"/>
      </rPr>
      <t xml:space="preserve">2. Sumar el monto del saldo disponible de todos los documentos para la mercancía y dividirlos entre la suma cantidad disponible para todos los documentos de la mercancía. El costo de la salida independientemente de la cantidad a retirar será el mismo
3.Dependiendo de la cantidad disponible en cada documento, tomar el costo de cada uno hasta que llegue a ceros.
4. Si aún asi se requiere seguir extrayendo mercancías, se tomará el costo del siguiente lote disponible
</t>
    </r>
  </si>
  <si>
    <t>Traspaso de Mercancías entre almacenes</t>
  </si>
  <si>
    <t>Proceso mediante el cual se mueven mercancías de un almacén a otro</t>
  </si>
  <si>
    <t>Este movimiento no genera cambios en la valuación de los inventarios, sino simplemente una reasignación de almacenes.</t>
  </si>
  <si>
    <t>Es importante tomar en cuenta que pese a que no hay cálculos especiales en la valuacion e los inventarios, se generan movimientos en la contabilidad de cada almacén</t>
  </si>
  <si>
    <t>Inventario físico</t>
  </si>
  <si>
    <t>El inventario físico es el registro del proceso manual mediante el cual se contabilizan las mercancías en el almacén y se compara contra lo registrado en el sistema</t>
  </si>
  <si>
    <t>Cierre de Almacén</t>
  </si>
  <si>
    <t>Contabilización de Existencias</t>
  </si>
  <si>
    <t>Apertura de Almacén</t>
  </si>
  <si>
    <t>Proceso manual de contabilizacion real contra lo estipulado en el sistema.</t>
  </si>
  <si>
    <t>El usuario tiene la facilidad de ingresar los montos existentes en el almacen</t>
  </si>
  <si>
    <t>El almacén queda bloqueado y no es posbile accederlo a menos que se reaperture</t>
  </si>
  <si>
    <t xml:space="preserve">Creación del Documento de Inventario físico que será enviado al usuario designado. Algún usuario con privilegios superiores al de Almacén deberá dar constancia de las diferencias encontradas  </t>
  </si>
  <si>
    <t>Se habilita la caja para trabajar de nuevo</t>
  </si>
  <si>
    <t>Se habilita el almacén para hacer retiros de existencias</t>
  </si>
  <si>
    <t>Dividir Nota de Venta</t>
  </si>
  <si>
    <t>Dividir Nota Venta</t>
  </si>
  <si>
    <t>En este proceso, es posible dividir una nota de venta en tantas partes como sea posible a fin de cobrarlas de manera separada</t>
  </si>
  <si>
    <t>Cada uno de los elementos de la nota de venta puede ser seleccionable, al hacerlo es posible agregarlos a una nueva nota de venta. Los elementos que no han sido seleccionados permanecerán en la nota de venta original.</t>
  </si>
  <si>
    <t>Ambas notas de venta (o aquellas que hayan sido generadas por medio de este proceso podrán ser accedidas y cobradas de manera independiente)</t>
  </si>
  <si>
    <t>Caso de Uso</t>
  </si>
  <si>
    <t>Validar que se trata de un traspaso entre almancenes para no hacer el calculo del costo en la salida</t>
  </si>
  <si>
    <t>Orden de Comanda</t>
  </si>
  <si>
    <t>Cerrar Orden de comanda</t>
  </si>
  <si>
    <t>Atributo</t>
  </si>
  <si>
    <t>Valor actual</t>
  </si>
  <si>
    <t>Valor nuevo</t>
  </si>
  <si>
    <t>Abierto</t>
  </si>
  <si>
    <t>Cerrado</t>
  </si>
  <si>
    <t>Transaccion de Almacen</t>
  </si>
  <si>
    <t>Aplicar movimiento de almacen</t>
  </si>
  <si>
    <t>Almacen Entrada</t>
  </si>
  <si>
    <t>Almacen Salida</t>
  </si>
  <si>
    <t>Mercancia</t>
  </si>
  <si>
    <t>Saldo</t>
  </si>
  <si>
    <t>El que corresponda al de la area de preparación del platillo (Entidad Padre)</t>
  </si>
  <si>
    <t>Para cada platillo de la orden, consultar las mercancías asociadadas. Los movimientos se harán a nivel mercancías</t>
  </si>
  <si>
    <t>El que corresponda al de la mercancía en el platillo</t>
  </si>
  <si>
    <t>La cantidad en la que la mercancía está relacionada al platillo, multiplicada por la cantidad de platillos</t>
  </si>
  <si>
    <t>Obtener el Costo Unitario de Salida</t>
  </si>
  <si>
    <t>Mandar llamar a la funcionalidad de Obtener Costo Unitario de Salida. Pasando como parametro el Id de la mercancía, el almacen de salida y la cantidad a ser extraida del almacen</t>
  </si>
  <si>
    <t>Costo Unitario x Cantidad</t>
  </si>
  <si>
    <t>Identificador de la Mercancía</t>
  </si>
  <si>
    <t>Concepto</t>
  </si>
  <si>
    <t>No se actualiza este valor</t>
  </si>
  <si>
    <t xml:space="preserve">Consultar de la configuración el método de valuación de Inventarios
1. Revisar la cantidad a disminuirse del inventario
Si el método de valuación es FIFO:
2.Comparar la cantidad contra el saldo actual del primer registro para la mercancía del almacen cuyo saldo sea mayor a cero y que corresponda a entrada (ordenado de menos a mas reciente)
Si el método de valuación es LIFO:
2.Comparar la cantidad contra el saldo actual del primer registro para la mercancía del almacen cuyo saldo sea mayor a cero y que corresponda a entrada (ordenado de mas a menos reciente)
Si el método de valuación es Costo Promedio:
2. Sumar el monto del saldo disponible de todos los documentos para la mercancía del almacen que correspondan a entradas y dividirlos entre la suma cantidad disponible para todos los documentos de la mercancía. El costo de la salida independientemente de la cantidad a retirar será el mismo
3.Dependiendo de la cantidad disponible en cada documento, tomar el costo de cada uno hasta que llegue a ceros.
4. Si aún asi se requiere seguir extrayendo mercancías, se tomará el costo del siguiente lote disponible según el ordenamiento dispuesto
</t>
  </si>
  <si>
    <t>Aplicar asiento contable</t>
  </si>
  <si>
    <t>SubCuenta de Cargo</t>
  </si>
  <si>
    <t>SubCuenta de Abono</t>
  </si>
  <si>
    <t>Cuenta Contable de Cargo para el Almacén de entrada (area de preparacion)</t>
  </si>
  <si>
    <t>Cuenta Contable de Abono para el Almacén de salida</t>
  </si>
  <si>
    <t>Id_Sucursal</t>
  </si>
  <si>
    <t>Clave de Folio</t>
  </si>
  <si>
    <t>Numeracion Folio</t>
  </si>
  <si>
    <t>Id_Usuario</t>
  </si>
  <si>
    <t>Documento Origen</t>
  </si>
  <si>
    <t>Fecha Actual</t>
  </si>
  <si>
    <t>Hora Actual</t>
  </si>
  <si>
    <t>Sucursal asociada al usuario actualmente registrado en el sistema</t>
  </si>
  <si>
    <t>Clave correspondiente al Folio de Movimiento de Almacen</t>
  </si>
  <si>
    <t>Numero más actual disponible para la clave de folio en el sistema</t>
  </si>
  <si>
    <t>Usuario registrado en el sistema</t>
  </si>
  <si>
    <t>Traspaso de almacén</t>
  </si>
  <si>
    <t>El monto se asienta a Costos -&gt; Costo de venta y/o servicio -&gt; Costo de Venta</t>
  </si>
  <si>
    <t>El que corresponda al de la area de preparación del platillo</t>
  </si>
  <si>
    <t>Cantidad de Mercancía de la Orden de Comanda</t>
  </si>
  <si>
    <t>Costo Unitario de la Orden de Comanda</t>
  </si>
  <si>
    <t>Costo Total de la Orden de Comanda</t>
  </si>
  <si>
    <t>Consultar tipo de Consumo</t>
  </si>
  <si>
    <t>No se actualizara el valor</t>
  </si>
  <si>
    <t>Cuenta de Cargo seleccionada para el tipo de consumo</t>
  </si>
  <si>
    <t>Si la cuenta contable del tipo de consumo es diferente a una de cliente, se aplicará dicha cuenta. En caso contrario será la del cliente especificado en la nota de venta</t>
  </si>
  <si>
    <t>Clave correspondiente al Folio de Nota de Venta</t>
  </si>
  <si>
    <t>Identificador del documento de Orden de Comanda asociado</t>
  </si>
  <si>
    <t>Consultar cargo del Cliente</t>
  </si>
  <si>
    <t>Consultar impuesto del Cliente</t>
  </si>
  <si>
    <t>Consultar descuento del Cliente</t>
  </si>
  <si>
    <t>Nombre del Tipo de Consumo</t>
  </si>
  <si>
    <t>Nombre del Cargo</t>
  </si>
  <si>
    <t>Nombre del Impuesto</t>
  </si>
  <si>
    <t>Nombre del Descuento</t>
  </si>
  <si>
    <t>Cuenta de Abono configurada en la entidad calculado a partir de la nota de venta</t>
  </si>
  <si>
    <t>Monto del documento</t>
  </si>
  <si>
    <t>Creado</t>
  </si>
  <si>
    <t>Aplicado</t>
  </si>
  <si>
    <t>ID_NotadeVenta</t>
  </si>
  <si>
    <t>Nota de Venta asociada al pago recibido</t>
  </si>
  <si>
    <t>Consultar Forma de Pago del Cliente</t>
  </si>
  <si>
    <t>Tipo de Movimiento, Concepto</t>
  </si>
  <si>
    <t>ID_Registro Maestro, ID_Proveedor, Presentación de Compra, Tamaño mínimo de Lote para ordenar, Número de existencias requeridas, Plan de Compra?</t>
  </si>
  <si>
    <t>ID_Proveedor, ID_Registro Maestro,  Presentación de Compra, Cantidad, Precio Unitario, Precio Total, ID_Almacen, Cantidad Surtida</t>
  </si>
  <si>
    <t>Conciliación Bancaria. Proces por el cual se ajustan los saldos y movimientos bancarios registrados en el sistema con los proporcionados por el estado de cuenta emitido por el Banco</t>
  </si>
  <si>
    <t>Proceso de Cierre contable. Proceso en el que se ajustan las cuentas de resultados a fin de que lleguen a ceros y trasladar sus saldos a las cuentas de balance.</t>
  </si>
  <si>
    <t>Cierre Contable</t>
  </si>
  <si>
    <t>Con_04</t>
  </si>
  <si>
    <t>Conciliacion Bancaria</t>
  </si>
  <si>
    <t>Documento en donde se hace la comparacion entre los registros llevados en el sistema y los emitidos por el banco en el estado de cuenta</t>
  </si>
  <si>
    <t>Movimientos Bancarios</t>
  </si>
  <si>
    <t>ID_Banco, Fecha de Conciliacion, Periodo Conciliado, Saldo Final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</si>
</sst>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_);[Red]\(&quot;$&quot;#,##0\)"/>
    <numFmt numFmtId="8" formatCode="&quot;$&quot;#,##0.00_);[Red]\(&quot;$&quot;#,##0.00\)"/>
    <numFmt numFmtId="44" formatCode="_(&quot;$&quot;* #,##0.00_);_(&quot;$&quot;* \(#,##0.00\);_(&quot;$&quot;* &quot;-&quot;??_);_(@_)"/>
  </numFmts>
  <fonts count="1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0"/>
      <name val="Calibri"/>
      <family val="2"/>
      <scheme val="minor"/>
    </font>
    <font>
      <sz val="10"/>
      <color theme="1"/>
      <name val="Calibri"/>
      <family val="2"/>
      <scheme val="minor"/>
    </font>
    <font>
      <sz val="11"/>
      <color theme="1"/>
      <name val="Calibri"/>
      <family val="2"/>
      <scheme val="minor"/>
    </font>
    <font>
      <b/>
      <sz val="10"/>
      <color theme="1"/>
      <name val="Calibri"/>
      <family val="2"/>
      <scheme val="minor"/>
    </font>
    <font>
      <b/>
      <sz val="11"/>
      <color rgb="FFFF0000"/>
      <name val="Calibri"/>
      <family val="2"/>
      <scheme val="minor"/>
    </font>
    <font>
      <b/>
      <sz val="10"/>
      <color theme="0"/>
      <name val="Calibri"/>
      <family val="2"/>
      <scheme val="minor"/>
    </font>
    <font>
      <sz val="10"/>
      <name val="Calibri"/>
      <family val="2"/>
      <scheme val="minor"/>
    </font>
    <font>
      <b/>
      <sz val="11"/>
      <color theme="0"/>
      <name val="Calibri"/>
      <scheme val="minor"/>
    </font>
    <font>
      <sz val="10"/>
      <color rgb="FFFF0000"/>
      <name val="Calibri"/>
      <family val="2"/>
      <scheme val="minor"/>
    </font>
    <font>
      <sz val="11"/>
      <color rgb="FFFF0000"/>
      <name val="Calibri"/>
      <family val="2"/>
      <scheme val="minor"/>
    </font>
    <font>
      <sz val="10"/>
      <color theme="1"/>
      <name val="Calibri"/>
      <scheme val="minor"/>
    </font>
  </fonts>
  <fills count="24">
    <fill>
      <patternFill patternType="none"/>
    </fill>
    <fill>
      <patternFill patternType="gray125"/>
    </fill>
    <fill>
      <patternFill patternType="solid">
        <fgColor theme="1"/>
        <bgColor indexed="64"/>
      </patternFill>
    </fill>
    <fill>
      <patternFill patternType="solid">
        <fgColor theme="5"/>
        <bgColor indexed="64"/>
      </patternFill>
    </fill>
    <fill>
      <patternFill patternType="solid">
        <fgColor rgb="FFFFFF00"/>
        <bgColor indexed="64"/>
      </patternFill>
    </fill>
    <fill>
      <patternFill patternType="solid">
        <fgColor rgb="FF00B0F0"/>
        <bgColor indexed="64"/>
      </patternFill>
    </fill>
    <fill>
      <patternFill patternType="solid">
        <fgColor rgb="FF00B050"/>
        <bgColor indexed="64"/>
      </patternFill>
    </fill>
    <fill>
      <patternFill patternType="solid">
        <fgColor rgb="FFFF0000"/>
        <bgColor indexed="64"/>
      </patternFill>
    </fill>
    <fill>
      <patternFill patternType="solid">
        <fgColor rgb="FFFF66FF"/>
        <bgColor indexed="64"/>
      </patternFill>
    </fill>
    <fill>
      <patternFill patternType="solid">
        <fgColor rgb="FF002060"/>
        <bgColor indexed="64"/>
      </patternFill>
    </fill>
    <fill>
      <patternFill patternType="solid">
        <fgColor rgb="FF66FF33"/>
        <bgColor indexed="64"/>
      </patternFill>
    </fill>
    <fill>
      <patternFill patternType="solid">
        <fgColor rgb="FF6600CC"/>
        <bgColor indexed="64"/>
      </patternFill>
    </fill>
    <fill>
      <patternFill patternType="solid">
        <fgColor rgb="FF99CCFF"/>
        <bgColor indexed="64"/>
      </patternFill>
    </fill>
    <fill>
      <patternFill patternType="solid">
        <fgColor theme="7"/>
        <bgColor indexed="64"/>
      </patternFill>
    </fill>
    <fill>
      <patternFill patternType="solid">
        <fgColor theme="2" tint="-0.749992370372631"/>
        <bgColor indexed="64"/>
      </patternFill>
    </fill>
    <fill>
      <patternFill patternType="solid">
        <fgColor rgb="FF00FFCC"/>
        <bgColor indexed="64"/>
      </patternFill>
    </fill>
    <fill>
      <patternFill patternType="solid">
        <fgColor theme="4"/>
        <bgColor theme="4"/>
      </patternFill>
    </fill>
    <fill>
      <patternFill patternType="solid">
        <fgColor rgb="FFCCFF99"/>
        <bgColor indexed="64"/>
      </patternFill>
    </fill>
    <fill>
      <patternFill patternType="solid">
        <fgColor rgb="FFFFFF99"/>
        <bgColor indexed="64"/>
      </patternFill>
    </fill>
    <fill>
      <patternFill patternType="solid">
        <fgColor rgb="FF99FFCC"/>
        <bgColor indexed="64"/>
      </patternFill>
    </fill>
    <fill>
      <patternFill patternType="solid">
        <fgColor rgb="FFFFCC99"/>
        <bgColor indexed="64"/>
      </patternFill>
    </fill>
    <fill>
      <patternFill patternType="solid">
        <fgColor rgb="FFCCCCFF"/>
        <bgColor indexed="64"/>
      </patternFill>
    </fill>
    <fill>
      <patternFill patternType="solid">
        <fgColor theme="5" tint="-0.249977111117893"/>
        <bgColor theme="5" tint="-0.249977111117893"/>
      </patternFill>
    </fill>
    <fill>
      <patternFill patternType="solid">
        <fgColor rgb="FF0070C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9" fontId="6" fillId="0" borderId="0" applyFont="0" applyFill="0" applyBorder="0" applyAlignment="0" applyProtection="0"/>
    <xf numFmtId="44" fontId="6" fillId="0" borderId="0" applyFont="0" applyFill="0" applyBorder="0" applyAlignment="0" applyProtection="0"/>
  </cellStyleXfs>
  <cellXfs count="166">
    <xf numFmtId="0" fontId="0" fillId="0" borderId="0" xfId="0"/>
    <xf numFmtId="0" fontId="2" fillId="0" borderId="0" xfId="0" applyFont="1"/>
    <xf numFmtId="0" fontId="3" fillId="0" borderId="0" xfId="0" applyFont="1" applyFill="1" applyAlignment="1"/>
    <xf numFmtId="0" fontId="0" fillId="0" borderId="0" xfId="0" applyBorder="1"/>
    <xf numFmtId="0" fontId="4" fillId="2" borderId="0" xfId="0" applyFont="1" applyFill="1" applyAlignment="1"/>
    <xf numFmtId="0" fontId="5" fillId="0" borderId="0" xfId="0" applyFont="1"/>
    <xf numFmtId="0" fontId="5" fillId="0" borderId="1" xfId="0" applyFont="1" applyBorder="1"/>
    <xf numFmtId="0" fontId="5" fillId="0" borderId="1" xfId="0" applyFont="1" applyBorder="1" applyAlignment="1">
      <alignment wrapText="1"/>
    </xf>
    <xf numFmtId="0" fontId="5" fillId="0" borderId="1" xfId="0" quotePrefix="1" applyFont="1" applyBorder="1"/>
    <xf numFmtId="0" fontId="5" fillId="0" borderId="1" xfId="0" applyFont="1" applyFill="1" applyBorder="1" applyAlignment="1">
      <alignment wrapText="1"/>
    </xf>
    <xf numFmtId="0" fontId="5" fillId="0" borderId="1" xfId="0" quotePrefix="1" applyFont="1" applyFill="1" applyBorder="1"/>
    <xf numFmtId="0" fontId="5" fillId="0" borderId="1" xfId="0" applyFont="1" applyFill="1" applyBorder="1"/>
    <xf numFmtId="0" fontId="4" fillId="2" borderId="0" xfId="0" applyFont="1" applyFill="1"/>
    <xf numFmtId="0" fontId="5" fillId="2" borderId="0" xfId="0" applyFont="1" applyFill="1" applyAlignment="1"/>
    <xf numFmtId="0" fontId="5" fillId="0" borderId="0" xfId="0" quotePrefix="1" applyFont="1"/>
    <xf numFmtId="0" fontId="5" fillId="3" borderId="0" xfId="0" applyFont="1" applyFill="1"/>
    <xf numFmtId="0" fontId="5" fillId="4" borderId="0" xfId="0" applyFont="1" applyFill="1" applyAlignment="1">
      <alignment vertical="center"/>
    </xf>
    <xf numFmtId="0" fontId="5" fillId="5" borderId="0" xfId="0" applyFont="1" applyFill="1"/>
    <xf numFmtId="0" fontId="5" fillId="6" borderId="0" xfId="0" applyFont="1" applyFill="1"/>
    <xf numFmtId="0" fontId="5" fillId="7" borderId="0" xfId="0" applyFont="1" applyFill="1"/>
    <xf numFmtId="0" fontId="5" fillId="8" borderId="0" xfId="0" applyFont="1" applyFill="1"/>
    <xf numFmtId="0" fontId="0" fillId="4" borderId="0" xfId="0" applyFill="1"/>
    <xf numFmtId="0" fontId="0" fillId="0" borderId="0" xfId="0" quotePrefix="1"/>
    <xf numFmtId="0" fontId="7" fillId="0" borderId="1" xfId="0" applyFont="1" applyBorder="1" applyAlignment="1">
      <alignment horizontal="center"/>
    </xf>
    <xf numFmtId="0" fontId="0" fillId="0" borderId="1" xfId="0" applyBorder="1"/>
    <xf numFmtId="0" fontId="0" fillId="0" borderId="1" xfId="0" applyBorder="1" applyAlignment="1">
      <alignment wrapText="1"/>
    </xf>
    <xf numFmtId="0" fontId="0" fillId="0" borderId="0" xfId="0" applyAlignment="1">
      <alignment horizontal="center"/>
    </xf>
    <xf numFmtId="0" fontId="8" fillId="0" borderId="0" xfId="0" applyFont="1"/>
    <xf numFmtId="0" fontId="5" fillId="0" borderId="1" xfId="0" applyFont="1" applyBorder="1" applyAlignment="1"/>
    <xf numFmtId="14" fontId="5" fillId="0" borderId="1" xfId="0" applyNumberFormat="1" applyFont="1" applyBorder="1"/>
    <xf numFmtId="18" fontId="5" fillId="0" borderId="1" xfId="0" applyNumberFormat="1" applyFont="1" applyBorder="1"/>
    <xf numFmtId="14" fontId="5" fillId="0" borderId="1" xfId="0" applyNumberFormat="1" applyFont="1" applyBorder="1" applyAlignment="1">
      <alignment wrapText="1"/>
    </xf>
    <xf numFmtId="18" fontId="5" fillId="0" borderId="1" xfId="0" applyNumberFormat="1" applyFont="1" applyBorder="1" applyAlignment="1">
      <alignment wrapText="1"/>
    </xf>
    <xf numFmtId="14" fontId="5" fillId="0" borderId="0" xfId="0" applyNumberFormat="1" applyFont="1"/>
    <xf numFmtId="18" fontId="5" fillId="0" borderId="0" xfId="0" applyNumberFormat="1" applyFont="1"/>
    <xf numFmtId="14" fontId="4" fillId="2" borderId="0" xfId="0" applyNumberFormat="1" applyFont="1" applyFill="1" applyAlignment="1"/>
    <xf numFmtId="18" fontId="4" fillId="2" borderId="0" xfId="0" applyNumberFormat="1" applyFont="1" applyFill="1" applyAlignment="1"/>
    <xf numFmtId="0" fontId="5" fillId="2" borderId="0" xfId="0" applyFont="1" applyFill="1"/>
    <xf numFmtId="0" fontId="4" fillId="9" borderId="0" xfId="0" applyFont="1" applyFill="1"/>
    <xf numFmtId="10" fontId="7" fillId="0" borderId="1" xfId="1" applyNumberFormat="1" applyFont="1" applyBorder="1"/>
    <xf numFmtId="9" fontId="8" fillId="0" borderId="0" xfId="1" applyFont="1"/>
    <xf numFmtId="0" fontId="9" fillId="2" borderId="2" xfId="0" applyFont="1" applyFill="1" applyBorder="1"/>
    <xf numFmtId="0" fontId="9" fillId="2" borderId="3" xfId="0" applyFont="1" applyFill="1" applyBorder="1"/>
    <xf numFmtId="0" fontId="9" fillId="2" borderId="4" xfId="0" applyFont="1" applyFill="1" applyBorder="1"/>
    <xf numFmtId="0" fontId="5" fillId="3" borderId="8" xfId="0" applyFont="1" applyFill="1" applyBorder="1"/>
    <xf numFmtId="0" fontId="5" fillId="3" borderId="9" xfId="0" applyFont="1" applyFill="1" applyBorder="1"/>
    <xf numFmtId="0" fontId="5" fillId="3" borderId="10" xfId="0" applyFont="1" applyFill="1" applyBorder="1" applyAlignment="1">
      <alignment horizontal="left" wrapText="1"/>
    </xf>
    <xf numFmtId="0" fontId="5" fillId="4" borderId="8" xfId="0" applyFont="1" applyFill="1" applyBorder="1" applyAlignment="1">
      <alignment vertical="center"/>
    </xf>
    <xf numFmtId="0" fontId="5" fillId="4" borderId="9" xfId="0" applyFont="1" applyFill="1" applyBorder="1"/>
    <xf numFmtId="0" fontId="5" fillId="4" borderId="10" xfId="0" applyFont="1" applyFill="1" applyBorder="1" applyAlignment="1">
      <alignment wrapText="1"/>
    </xf>
    <xf numFmtId="0" fontId="5" fillId="5" borderId="9" xfId="0" applyFont="1" applyFill="1" applyBorder="1"/>
    <xf numFmtId="0" fontId="5" fillId="5" borderId="10" xfId="0" applyFont="1" applyFill="1" applyBorder="1" applyAlignment="1">
      <alignment wrapText="1"/>
    </xf>
    <xf numFmtId="0" fontId="5" fillId="6" borderId="8" xfId="0" applyFont="1" applyFill="1" applyBorder="1"/>
    <xf numFmtId="0" fontId="5" fillId="6" borderId="9" xfId="0" applyFont="1" applyFill="1" applyBorder="1"/>
    <xf numFmtId="0" fontId="5" fillId="6" borderId="10" xfId="0" applyFont="1" applyFill="1" applyBorder="1" applyAlignment="1">
      <alignment wrapText="1"/>
    </xf>
    <xf numFmtId="0" fontId="5" fillId="7" borderId="8" xfId="0" applyFont="1" applyFill="1" applyBorder="1"/>
    <xf numFmtId="0" fontId="5" fillId="7" borderId="9" xfId="0" applyFont="1" applyFill="1" applyBorder="1"/>
    <xf numFmtId="0" fontId="5" fillId="7" borderId="10" xfId="0" applyFont="1" applyFill="1" applyBorder="1" applyAlignment="1">
      <alignment wrapText="1"/>
    </xf>
    <xf numFmtId="0" fontId="5" fillId="8" borderId="5" xfId="0" applyFont="1" applyFill="1" applyBorder="1"/>
    <xf numFmtId="0" fontId="5" fillId="8" borderId="6" xfId="0" applyFont="1" applyFill="1" applyBorder="1"/>
    <xf numFmtId="0" fontId="5" fillId="8" borderId="7" xfId="0" applyFont="1" applyFill="1" applyBorder="1" applyAlignment="1">
      <alignment wrapText="1"/>
    </xf>
    <xf numFmtId="0" fontId="4" fillId="9" borderId="0" xfId="0" applyFont="1" applyFill="1" applyAlignment="1">
      <alignment wrapText="1"/>
    </xf>
    <xf numFmtId="0" fontId="1" fillId="9" borderId="0" xfId="0" applyFont="1" applyFill="1"/>
    <xf numFmtId="0" fontId="1" fillId="9" borderId="0" xfId="0" applyFont="1" applyFill="1" applyAlignment="1">
      <alignment horizontal="center"/>
    </xf>
    <xf numFmtId="0" fontId="0" fillId="0" borderId="0" xfId="0" applyAlignment="1"/>
    <xf numFmtId="0" fontId="3" fillId="9" borderId="0" xfId="0" applyFont="1" applyFill="1" applyAlignment="1">
      <alignment horizontal="center"/>
    </xf>
    <xf numFmtId="0" fontId="0" fillId="0" borderId="0" xfId="0" applyAlignment="1">
      <alignment horizontal="left"/>
    </xf>
    <xf numFmtId="0" fontId="0" fillId="0" borderId="0" xfId="0" applyFont="1" applyBorder="1" applyAlignment="1">
      <alignment horizontal="left"/>
    </xf>
    <xf numFmtId="0" fontId="1" fillId="9" borderId="0" xfId="0" applyFont="1" applyFill="1" applyAlignment="1">
      <alignment horizontal="left"/>
    </xf>
    <xf numFmtId="0" fontId="0" fillId="0" borderId="0" xfId="0" applyBorder="1" applyAlignment="1">
      <alignment horizontal="left"/>
    </xf>
    <xf numFmtId="0" fontId="1" fillId="2" borderId="0" xfId="0" applyFont="1" applyFill="1"/>
    <xf numFmtId="0" fontId="3" fillId="2" borderId="0" xfId="0" applyFont="1" applyFill="1"/>
    <xf numFmtId="0" fontId="5" fillId="10" borderId="8" xfId="0" applyFont="1" applyFill="1" applyBorder="1"/>
    <xf numFmtId="0" fontId="5" fillId="10" borderId="9" xfId="0" applyFont="1" applyFill="1" applyBorder="1"/>
    <xf numFmtId="0" fontId="5" fillId="10" borderId="10" xfId="0" applyFont="1" applyFill="1" applyBorder="1" applyAlignment="1">
      <alignment wrapText="1"/>
    </xf>
    <xf numFmtId="0" fontId="4" fillId="11" borderId="8" xfId="0" applyFont="1" applyFill="1" applyBorder="1"/>
    <xf numFmtId="0" fontId="4" fillId="11" borderId="9" xfId="0" applyFont="1" applyFill="1" applyBorder="1"/>
    <xf numFmtId="0" fontId="4" fillId="11" borderId="10" xfId="0" applyFont="1" applyFill="1" applyBorder="1" applyAlignment="1">
      <alignment wrapText="1"/>
    </xf>
    <xf numFmtId="0" fontId="5" fillId="10" borderId="0" xfId="0" applyFont="1" applyFill="1"/>
    <xf numFmtId="0" fontId="4" fillId="11" borderId="0" xfId="0" applyFont="1" applyFill="1"/>
    <xf numFmtId="0" fontId="2" fillId="0" borderId="0" xfId="0" applyFont="1" applyBorder="1"/>
    <xf numFmtId="0" fontId="10" fillId="0" borderId="0" xfId="0" applyFont="1" applyFill="1"/>
    <xf numFmtId="0" fontId="10" fillId="0" borderId="0" xfId="0" applyFont="1" applyFill="1" applyBorder="1"/>
    <xf numFmtId="0" fontId="5" fillId="5" borderId="8" xfId="0" applyFont="1" applyFill="1" applyBorder="1" applyAlignment="1">
      <alignment wrapText="1"/>
    </xf>
    <xf numFmtId="0" fontId="5" fillId="12" borderId="8" xfId="0" applyFont="1" applyFill="1" applyBorder="1" applyAlignment="1">
      <alignment wrapText="1"/>
    </xf>
    <xf numFmtId="0" fontId="5" fillId="12" borderId="9" xfId="0" applyFont="1" applyFill="1" applyBorder="1"/>
    <xf numFmtId="0" fontId="5" fillId="12" borderId="10" xfId="0" applyFont="1" applyFill="1" applyBorder="1" applyAlignment="1">
      <alignment wrapText="1"/>
    </xf>
    <xf numFmtId="0" fontId="5" fillId="13" borderId="8" xfId="0" applyFont="1" applyFill="1" applyBorder="1"/>
    <xf numFmtId="0" fontId="5" fillId="13" borderId="9" xfId="0" applyFont="1" applyFill="1" applyBorder="1"/>
    <xf numFmtId="0" fontId="5" fillId="13" borderId="10" xfId="0" applyFont="1" applyFill="1" applyBorder="1" applyAlignment="1">
      <alignment wrapText="1"/>
    </xf>
    <xf numFmtId="0" fontId="4" fillId="14" borderId="9" xfId="0" applyFont="1" applyFill="1" applyBorder="1"/>
    <xf numFmtId="0" fontId="4" fillId="14" borderId="10" xfId="0" applyFont="1" applyFill="1" applyBorder="1" applyAlignment="1">
      <alignment wrapText="1"/>
    </xf>
    <xf numFmtId="0" fontId="4" fillId="14" borderId="8" xfId="0" applyFont="1" applyFill="1" applyBorder="1" applyAlignment="1">
      <alignment wrapText="1"/>
    </xf>
    <xf numFmtId="0" fontId="0" fillId="0" borderId="0" xfId="0" applyAlignment="1">
      <alignment wrapText="1"/>
    </xf>
    <xf numFmtId="0" fontId="5" fillId="15" borderId="8" xfId="0" applyFont="1" applyFill="1" applyBorder="1"/>
    <xf numFmtId="0" fontId="5" fillId="15" borderId="9" xfId="0" applyFont="1" applyFill="1" applyBorder="1"/>
    <xf numFmtId="0" fontId="5" fillId="15" borderId="10" xfId="0" applyFont="1" applyFill="1" applyBorder="1" applyAlignment="1">
      <alignment wrapText="1"/>
    </xf>
    <xf numFmtId="0" fontId="5" fillId="15" borderId="1" xfId="0" applyFont="1" applyFill="1" applyBorder="1"/>
    <xf numFmtId="0" fontId="7" fillId="0" borderId="10" xfId="0" applyFont="1" applyBorder="1"/>
    <xf numFmtId="0" fontId="0" fillId="0" borderId="11" xfId="0" applyBorder="1" applyAlignment="1">
      <alignment wrapText="1"/>
    </xf>
    <xf numFmtId="0" fontId="0" fillId="0" borderId="1" xfId="0" quotePrefix="1" applyBorder="1" applyAlignment="1">
      <alignment wrapText="1"/>
    </xf>
    <xf numFmtId="0" fontId="0" fillId="0" borderId="11" xfId="0" quotePrefix="1" applyBorder="1" applyAlignment="1">
      <alignment wrapText="1"/>
    </xf>
    <xf numFmtId="0" fontId="0" fillId="0" borderId="1" xfId="0" applyNumberFormat="1" applyBorder="1" applyAlignment="1">
      <alignment wrapText="1"/>
    </xf>
    <xf numFmtId="0" fontId="1" fillId="2" borderId="1" xfId="0" applyFont="1" applyFill="1" applyBorder="1"/>
    <xf numFmtId="0" fontId="11" fillId="2" borderId="1" xfId="0" applyFont="1" applyFill="1" applyBorder="1"/>
    <xf numFmtId="0" fontId="0" fillId="0" borderId="10" xfId="0" applyBorder="1" applyAlignment="1">
      <alignment wrapText="1"/>
    </xf>
    <xf numFmtId="0" fontId="0" fillId="0" borderId="8" xfId="0" applyBorder="1" applyAlignment="1">
      <alignment wrapText="1"/>
    </xf>
    <xf numFmtId="0" fontId="0" fillId="0" borderId="4" xfId="0" applyBorder="1" applyAlignment="1">
      <alignment wrapText="1"/>
    </xf>
    <xf numFmtId="0" fontId="0" fillId="0" borderId="2" xfId="0" applyBorder="1" applyAlignment="1">
      <alignment wrapText="1"/>
    </xf>
    <xf numFmtId="0" fontId="1" fillId="2" borderId="12" xfId="0" applyFont="1" applyFill="1" applyBorder="1"/>
    <xf numFmtId="0" fontId="0" fillId="0" borderId="13" xfId="0" applyBorder="1" applyAlignment="1">
      <alignment wrapText="1"/>
    </xf>
    <xf numFmtId="0" fontId="11" fillId="2" borderId="12" xfId="0" applyFont="1" applyFill="1" applyBorder="1"/>
    <xf numFmtId="0" fontId="3" fillId="16" borderId="1" xfId="0" applyFont="1" applyFill="1" applyBorder="1" applyAlignment="1">
      <alignment wrapText="1"/>
    </xf>
    <xf numFmtId="0" fontId="0" fillId="0" borderId="12" xfId="0" applyFill="1" applyBorder="1"/>
    <xf numFmtId="0" fontId="0" fillId="17" borderId="1" xfId="0" applyFill="1" applyBorder="1"/>
    <xf numFmtId="0" fontId="0" fillId="17" borderId="1" xfId="0" applyFill="1" applyBorder="1" applyAlignment="1">
      <alignment wrapText="1"/>
    </xf>
    <xf numFmtId="0" fontId="0" fillId="18" borderId="1" xfId="0" applyFill="1" applyBorder="1"/>
    <xf numFmtId="0" fontId="0" fillId="18" borderId="1" xfId="0" applyFill="1" applyBorder="1" applyAlignment="1">
      <alignment wrapText="1"/>
    </xf>
    <xf numFmtId="9" fontId="0" fillId="0" borderId="0" xfId="1" applyFont="1"/>
    <xf numFmtId="44" fontId="0" fillId="0" borderId="0" xfId="2" applyFont="1"/>
    <xf numFmtId="44" fontId="0" fillId="0" borderId="0" xfId="0" applyNumberFormat="1"/>
    <xf numFmtId="0" fontId="0" fillId="19" borderId="1" xfId="0" applyFill="1" applyBorder="1"/>
    <xf numFmtId="0" fontId="0" fillId="19" borderId="1" xfId="0" applyFill="1" applyBorder="1" applyAlignment="1">
      <alignment wrapText="1"/>
    </xf>
    <xf numFmtId="0" fontId="0" fillId="20" borderId="1" xfId="0" applyFill="1" applyBorder="1"/>
    <xf numFmtId="0" fontId="0" fillId="20" borderId="1" xfId="0" applyFill="1" applyBorder="1" applyAlignment="1">
      <alignment wrapText="1"/>
    </xf>
    <xf numFmtId="0" fontId="0" fillId="21" borderId="1" xfId="0" applyFill="1" applyBorder="1"/>
    <xf numFmtId="0" fontId="0" fillId="21" borderId="1" xfId="0" applyFill="1" applyBorder="1" applyAlignment="1">
      <alignment wrapText="1"/>
    </xf>
    <xf numFmtId="0" fontId="0" fillId="0" borderId="11" xfId="0" applyNumberFormat="1" applyBorder="1" applyAlignment="1">
      <alignment wrapText="1"/>
    </xf>
    <xf numFmtId="6" fontId="0" fillId="0" borderId="0" xfId="0" applyNumberFormat="1"/>
    <xf numFmtId="8" fontId="0" fillId="0" borderId="0" xfId="0" applyNumberFormat="1"/>
    <xf numFmtId="0" fontId="5" fillId="0" borderId="0" xfId="0" applyFont="1" applyFill="1"/>
    <xf numFmtId="0" fontId="3" fillId="16" borderId="1" xfId="0" applyNumberFormat="1" applyFont="1" applyFill="1" applyBorder="1" applyAlignment="1">
      <alignment wrapText="1"/>
    </xf>
    <xf numFmtId="0" fontId="3" fillId="16" borderId="11" xfId="0" applyNumberFormat="1" applyFont="1" applyFill="1" applyBorder="1" applyAlignment="1">
      <alignment wrapText="1"/>
    </xf>
    <xf numFmtId="0" fontId="0" fillId="0" borderId="7" xfId="0" applyBorder="1"/>
    <xf numFmtId="0" fontId="0" fillId="0" borderId="13" xfId="0" applyBorder="1"/>
    <xf numFmtId="0" fontId="0" fillId="0" borderId="10" xfId="0" applyBorder="1"/>
    <xf numFmtId="0" fontId="0" fillId="0" borderId="4" xfId="0" applyBorder="1"/>
    <xf numFmtId="0" fontId="0" fillId="0" borderId="11" xfId="0" applyBorder="1"/>
    <xf numFmtId="0" fontId="0" fillId="0" borderId="1" xfId="0" applyNumberFormat="1" applyBorder="1"/>
    <xf numFmtId="0" fontId="12" fillId="0" borderId="0" xfId="0" applyFont="1" applyFill="1"/>
    <xf numFmtId="0" fontId="7" fillId="0" borderId="0" xfId="0" applyFont="1" applyFill="1"/>
    <xf numFmtId="0" fontId="5" fillId="0" borderId="1" xfId="0" quotePrefix="1" applyFont="1" applyFill="1" applyBorder="1" applyAlignment="1">
      <alignment wrapText="1"/>
    </xf>
    <xf numFmtId="0" fontId="5" fillId="0" borderId="11" xfId="0" applyFont="1" applyFill="1" applyBorder="1"/>
    <xf numFmtId="0" fontId="5" fillId="0" borderId="11" xfId="0" applyFont="1" applyFill="1" applyBorder="1" applyAlignment="1">
      <alignment wrapText="1"/>
    </xf>
    <xf numFmtId="0" fontId="14" fillId="0" borderId="11" xfId="0" applyFont="1" applyFill="1" applyBorder="1" applyAlignment="1">
      <alignment wrapText="1"/>
    </xf>
    <xf numFmtId="0" fontId="14" fillId="0" borderId="11" xfId="0" applyFont="1" applyFill="1" applyBorder="1"/>
    <xf numFmtId="16" fontId="0" fillId="0" borderId="0" xfId="0" applyNumberFormat="1"/>
    <xf numFmtId="0" fontId="3" fillId="22" borderId="1" xfId="0" applyFont="1" applyFill="1" applyBorder="1" applyAlignment="1">
      <alignment wrapText="1"/>
    </xf>
    <xf numFmtId="0" fontId="5" fillId="0" borderId="13" xfId="0" applyFont="1" applyFill="1" applyBorder="1" applyAlignment="1">
      <alignment wrapText="1"/>
    </xf>
    <xf numFmtId="0" fontId="0" fillId="2" borderId="0" xfId="0" applyFill="1"/>
    <xf numFmtId="0" fontId="13" fillId="0" borderId="0" xfId="0" applyFont="1"/>
    <xf numFmtId="0" fontId="4" fillId="2" borderId="0" xfId="0" applyFont="1" applyFill="1" applyAlignment="1">
      <alignment horizontal="center"/>
    </xf>
    <xf numFmtId="0" fontId="2" fillId="0" borderId="6" xfId="0" applyFont="1" applyBorder="1" applyAlignment="1">
      <alignment horizontal="center"/>
    </xf>
    <xf numFmtId="0" fontId="0" fillId="0" borderId="11" xfId="0" applyBorder="1" applyAlignment="1">
      <alignment horizontal="center" vertical="center" textRotation="90"/>
    </xf>
    <xf numFmtId="0" fontId="0" fillId="0" borderId="12" xfId="0" applyBorder="1" applyAlignment="1">
      <alignment horizontal="center" vertical="center" textRotation="90"/>
    </xf>
    <xf numFmtId="0" fontId="0" fillId="0" borderId="13" xfId="0" applyBorder="1" applyAlignment="1">
      <alignment horizontal="center" vertical="center" textRotation="90"/>
    </xf>
    <xf numFmtId="0" fontId="0" fillId="0" borderId="1" xfId="0" applyFont="1" applyBorder="1" applyAlignment="1">
      <alignment horizontal="left"/>
    </xf>
    <xf numFmtId="0" fontId="1" fillId="9" borderId="0" xfId="0" applyFont="1" applyFill="1" applyAlignment="1">
      <alignment horizontal="center"/>
    </xf>
    <xf numFmtId="0" fontId="1" fillId="9" borderId="0" xfId="0" applyFont="1" applyFill="1" applyAlignment="1">
      <alignment horizontal="left"/>
    </xf>
    <xf numFmtId="0" fontId="3" fillId="9" borderId="0" xfId="0" applyFont="1" applyFill="1"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quotePrefix="1" applyFont="1" applyBorder="1" applyAlignment="1">
      <alignment horizontal="left"/>
    </xf>
    <xf numFmtId="0" fontId="0" fillId="0" borderId="0" xfId="0" applyAlignment="1">
      <alignment horizontal="center"/>
    </xf>
    <xf numFmtId="0" fontId="0" fillId="23" borderId="10" xfId="0" applyFill="1" applyBorder="1" applyAlignment="1">
      <alignment wrapText="1"/>
    </xf>
    <xf numFmtId="0" fontId="0" fillId="23" borderId="10" xfId="0" applyFill="1" applyBorder="1"/>
  </cellXfs>
  <cellStyles count="3">
    <cellStyle name="Currency" xfId="2" builtinId="4"/>
    <cellStyle name="Normal" xfId="0" builtinId="0"/>
    <cellStyle name="Percent" xfId="1" builtinId="5"/>
  </cellStyles>
  <dxfs count="215">
    <dxf>
      <fill>
        <patternFill>
          <bgColor theme="5"/>
        </patternFill>
      </fill>
    </dxf>
    <dxf>
      <fill>
        <patternFill>
          <bgColor rgb="FFFFFF00"/>
        </patternFill>
      </fill>
    </dxf>
    <dxf>
      <fill>
        <patternFill>
          <bgColor rgb="FF00B0F0"/>
        </patternFill>
      </fill>
    </dxf>
    <dxf>
      <fill>
        <patternFill>
          <bgColor rgb="FF00B050"/>
        </patternFill>
      </fill>
    </dxf>
    <dxf>
      <fill>
        <patternFill>
          <bgColor rgb="FFFF0000"/>
        </patternFill>
      </fill>
    </dxf>
    <dxf>
      <fill>
        <patternFill>
          <bgColor rgb="FFFF66FF"/>
        </patternFill>
      </fill>
    </dxf>
    <dxf>
      <font>
        <color theme="0"/>
      </font>
      <fill>
        <patternFill>
          <bgColor rgb="FF002060"/>
        </patternFill>
      </fill>
    </dxf>
    <dxf>
      <font>
        <color theme="0" tint="-0.499984740745262"/>
      </font>
      <fill>
        <patternFill>
          <bgColor theme="0" tint="-0.14996795556505021"/>
        </patternFill>
      </fill>
    </dxf>
    <dxf>
      <font>
        <b val="0"/>
        <i val="0"/>
      </font>
      <fill>
        <patternFill>
          <bgColor rgb="FF00FF00"/>
        </patternFill>
      </fill>
    </dxf>
    <dxf>
      <font>
        <b val="0"/>
        <i val="0"/>
        <color theme="0"/>
      </font>
      <fill>
        <patternFill>
          <bgColor rgb="FF7030A0"/>
        </patternFill>
      </fill>
    </dxf>
    <dxf>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1"/>
        <name val="Calibri"/>
        <scheme val="minor"/>
      </font>
      <fill>
        <patternFill patternType="none">
          <fgColor indexed="64"/>
          <bgColor auto="1"/>
        </patternFill>
      </fill>
    </dxf>
    <dxf>
      <font>
        <b/>
        <i val="0"/>
        <strike val="0"/>
        <condense val="0"/>
        <extend val="0"/>
        <outline val="0"/>
        <shadow val="0"/>
        <u val="none"/>
        <vertAlign val="baseline"/>
        <sz val="10"/>
        <color theme="1"/>
        <name val="Calibri"/>
        <scheme val="minor"/>
      </font>
      <fill>
        <patternFill patternType="none">
          <fgColor indexed="64"/>
          <bgColor auto="1"/>
        </patternFill>
      </fill>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outline="0">
        <bottom style="thin">
          <color indexed="64"/>
        </bottom>
      </border>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theme="1"/>
        </patternFill>
      </fill>
      <border diagonalUp="0" diagonalDown="0">
        <left style="thin">
          <color indexed="64"/>
        </left>
        <right style="thin">
          <color indexed="64"/>
        </right>
        <top/>
        <bottom/>
        <vertical style="thin">
          <color indexed="64"/>
        </vertical>
        <horizontal style="thin">
          <color indexed="64"/>
        </horizontal>
      </border>
    </dxf>
    <dxf>
      <fill>
        <patternFill>
          <bgColor theme="5"/>
        </patternFill>
      </fill>
    </dxf>
    <dxf>
      <fill>
        <patternFill>
          <bgColor rgb="FFFFFF00"/>
        </patternFill>
      </fill>
    </dxf>
    <dxf>
      <fill>
        <patternFill>
          <bgColor rgb="FF00B0F0"/>
        </patternFill>
      </fill>
    </dxf>
    <dxf>
      <fill>
        <patternFill>
          <bgColor rgb="FF00B050"/>
        </patternFill>
      </fill>
    </dxf>
    <dxf>
      <fill>
        <patternFill>
          <bgColor rgb="FFFF0000"/>
        </patternFill>
      </fill>
    </dxf>
    <dxf>
      <fill>
        <patternFill>
          <bgColor rgb="FFFF66FF"/>
        </patternFill>
      </fill>
    </dxf>
    <dxf>
      <font>
        <color theme="0"/>
      </font>
      <fill>
        <patternFill>
          <bgColor rgb="FF002060"/>
        </patternFill>
      </fill>
    </dxf>
    <dxf>
      <font>
        <b val="0"/>
        <i val="0"/>
      </font>
      <fill>
        <patternFill>
          <bgColor rgb="FF00FF00"/>
        </patternFill>
      </fill>
    </dxf>
    <dxf>
      <font>
        <b val="0"/>
        <i val="0"/>
        <color theme="0"/>
      </font>
      <fill>
        <patternFill>
          <bgColor rgb="FF7030A0"/>
        </patternFill>
      </fill>
    </dxf>
    <dxf>
      <fill>
        <patternFill>
          <bgColor theme="4" tint="0.59996337778862885"/>
        </patternFill>
      </fill>
    </dxf>
    <dxf>
      <fill>
        <patternFill>
          <bgColor theme="7"/>
        </patternFill>
      </fill>
    </dxf>
    <dxf>
      <font>
        <color theme="0"/>
      </font>
      <fill>
        <patternFill>
          <bgColor theme="2" tint="-0.749961851863155"/>
        </patternFill>
      </fill>
    </dxf>
    <dxf>
      <font>
        <b val="0"/>
        <i val="0"/>
      </font>
      <fill>
        <patternFill>
          <bgColor rgb="FF66FFFF"/>
        </patternFill>
      </fill>
    </dxf>
    <dxf>
      <fill>
        <patternFill>
          <bgColor theme="5"/>
        </patternFill>
      </fill>
    </dxf>
    <dxf>
      <fill>
        <patternFill>
          <bgColor rgb="FFFFFF00"/>
        </patternFill>
      </fill>
    </dxf>
    <dxf>
      <fill>
        <patternFill>
          <bgColor rgb="FF00B0F0"/>
        </patternFill>
      </fill>
    </dxf>
    <dxf>
      <fill>
        <patternFill>
          <bgColor rgb="FF00B050"/>
        </patternFill>
      </fill>
    </dxf>
    <dxf>
      <fill>
        <patternFill>
          <bgColor rgb="FFFF0000"/>
        </patternFill>
      </fill>
    </dxf>
    <dxf>
      <fill>
        <patternFill>
          <bgColor rgb="FFFF66FF"/>
        </patternFill>
      </fill>
    </dxf>
    <dxf>
      <font>
        <color theme="0"/>
      </font>
      <fill>
        <patternFill>
          <bgColor rgb="FF002060"/>
        </patternFill>
      </fill>
    </dxf>
    <dxf>
      <font>
        <b val="0"/>
        <i val="0"/>
      </font>
      <fill>
        <patternFill>
          <bgColor rgb="FF00FF00"/>
        </patternFill>
      </fill>
    </dxf>
    <dxf>
      <font>
        <b val="0"/>
        <i val="0"/>
        <color theme="0"/>
      </font>
      <fill>
        <patternFill>
          <bgColor rgb="FF7030A0"/>
        </patternFill>
      </fill>
    </dxf>
    <dxf>
      <fill>
        <patternFill>
          <bgColor theme="4" tint="0.59996337778862885"/>
        </patternFill>
      </fill>
    </dxf>
    <dxf>
      <fill>
        <patternFill>
          <bgColor theme="7"/>
        </patternFill>
      </fill>
    </dxf>
    <dxf>
      <font>
        <color theme="0"/>
      </font>
      <fill>
        <patternFill>
          <bgColor theme="2" tint="-0.749961851863155"/>
        </patternFill>
      </fill>
    </dxf>
    <dxf>
      <font>
        <b val="0"/>
        <i val="0"/>
      </font>
      <fill>
        <patternFill>
          <bgColor rgb="FF66FFFF"/>
        </patternFill>
      </fill>
    </dxf>
    <dxf>
      <fill>
        <patternFill>
          <bgColor theme="5"/>
        </patternFill>
      </fill>
    </dxf>
    <dxf>
      <fill>
        <patternFill>
          <bgColor rgb="FFFFFF00"/>
        </patternFill>
      </fill>
    </dxf>
    <dxf>
      <fill>
        <patternFill>
          <bgColor rgb="FF00B0F0"/>
        </patternFill>
      </fill>
    </dxf>
    <dxf>
      <fill>
        <patternFill>
          <bgColor rgb="FF00B050"/>
        </patternFill>
      </fill>
    </dxf>
    <dxf>
      <fill>
        <patternFill>
          <bgColor rgb="FFFF0000"/>
        </patternFill>
      </fill>
    </dxf>
    <dxf>
      <fill>
        <patternFill>
          <bgColor rgb="FFFF66FF"/>
        </patternFill>
      </fill>
    </dxf>
    <dxf>
      <font>
        <color theme="0"/>
      </font>
      <fill>
        <patternFill>
          <bgColor rgb="FF002060"/>
        </patternFill>
      </fill>
    </dxf>
    <dxf>
      <font>
        <b val="0"/>
        <i val="0"/>
      </font>
      <fill>
        <patternFill>
          <bgColor rgb="FF00FF00"/>
        </patternFill>
      </fill>
    </dxf>
    <dxf>
      <font>
        <b val="0"/>
        <i val="0"/>
        <color theme="0"/>
      </font>
      <fill>
        <patternFill>
          <bgColor rgb="FF7030A0"/>
        </patternFill>
      </fill>
    </dxf>
    <dxf>
      <fill>
        <patternFill>
          <bgColor theme="4" tint="0.59996337778862885"/>
        </patternFill>
      </fill>
    </dxf>
    <dxf>
      <fill>
        <patternFill>
          <bgColor theme="7"/>
        </patternFill>
      </fill>
    </dxf>
    <dxf>
      <font>
        <color theme="0"/>
      </font>
      <fill>
        <patternFill>
          <bgColor theme="2" tint="-0.749961851863155"/>
        </patternFill>
      </fill>
    </dxf>
    <dxf>
      <font>
        <b val="0"/>
        <i val="0"/>
      </font>
      <fill>
        <patternFill>
          <bgColor rgb="FF66FFFF"/>
        </patternFill>
      </fill>
    </dxf>
    <dxf>
      <fill>
        <patternFill>
          <bgColor theme="5"/>
        </patternFill>
      </fill>
    </dxf>
    <dxf>
      <fill>
        <patternFill>
          <bgColor rgb="FFFFFF00"/>
        </patternFill>
      </fill>
    </dxf>
    <dxf>
      <fill>
        <patternFill>
          <bgColor rgb="FF00B0F0"/>
        </patternFill>
      </fill>
    </dxf>
    <dxf>
      <fill>
        <patternFill>
          <bgColor rgb="FF00B050"/>
        </patternFill>
      </fill>
    </dxf>
    <dxf>
      <fill>
        <patternFill>
          <bgColor rgb="FFFF0000"/>
        </patternFill>
      </fill>
    </dxf>
    <dxf>
      <fill>
        <patternFill>
          <bgColor rgb="FFFF66FF"/>
        </patternFill>
      </fill>
    </dxf>
    <dxf>
      <font>
        <color theme="0"/>
      </font>
      <fill>
        <patternFill>
          <bgColor rgb="FF002060"/>
        </patternFill>
      </fill>
    </dxf>
    <dxf>
      <font>
        <b val="0"/>
        <i val="0"/>
      </font>
      <fill>
        <patternFill>
          <bgColor rgb="FF00FF00"/>
        </patternFill>
      </fill>
    </dxf>
    <dxf>
      <font>
        <b val="0"/>
        <i val="0"/>
        <color theme="0"/>
      </font>
      <fill>
        <patternFill>
          <bgColor rgb="FF7030A0"/>
        </patternFill>
      </fill>
    </dxf>
    <dxf>
      <fill>
        <patternFill>
          <bgColor theme="4" tint="0.59996337778862885"/>
        </patternFill>
      </fill>
    </dxf>
    <dxf>
      <fill>
        <patternFill>
          <bgColor theme="7"/>
        </patternFill>
      </fill>
    </dxf>
    <dxf>
      <font>
        <color theme="0"/>
      </font>
      <fill>
        <patternFill>
          <bgColor theme="2" tint="-0.749961851863155"/>
        </patternFill>
      </fill>
    </dxf>
    <dxf>
      <font>
        <b val="0"/>
        <i val="0"/>
      </font>
      <fill>
        <patternFill>
          <bgColor rgb="FF66FFFF"/>
        </patternFill>
      </fill>
    </dxf>
    <dxf>
      <fill>
        <patternFill>
          <bgColor theme="5"/>
        </patternFill>
      </fill>
    </dxf>
    <dxf>
      <fill>
        <patternFill>
          <bgColor rgb="FFFFFF00"/>
        </patternFill>
      </fill>
    </dxf>
    <dxf>
      <fill>
        <patternFill>
          <bgColor rgb="FF00B0F0"/>
        </patternFill>
      </fill>
    </dxf>
    <dxf>
      <fill>
        <patternFill>
          <bgColor rgb="FF00B050"/>
        </patternFill>
      </fill>
    </dxf>
    <dxf>
      <fill>
        <patternFill>
          <bgColor rgb="FFFF0000"/>
        </patternFill>
      </fill>
    </dxf>
    <dxf>
      <fill>
        <patternFill>
          <bgColor rgb="FFFF66FF"/>
        </patternFill>
      </fill>
    </dxf>
    <dxf>
      <font>
        <color theme="0"/>
      </font>
      <fill>
        <patternFill>
          <bgColor rgb="FF002060"/>
        </patternFill>
      </fill>
    </dxf>
    <dxf>
      <fill>
        <patternFill>
          <bgColor theme="5"/>
        </patternFill>
      </fill>
    </dxf>
    <dxf>
      <fill>
        <patternFill>
          <bgColor rgb="FFFFFF00"/>
        </patternFill>
      </fill>
    </dxf>
    <dxf>
      <fill>
        <patternFill>
          <bgColor rgb="FF00B0F0"/>
        </patternFill>
      </fill>
    </dxf>
    <dxf>
      <fill>
        <patternFill>
          <bgColor rgb="FF00B050"/>
        </patternFill>
      </fill>
    </dxf>
    <dxf>
      <fill>
        <patternFill>
          <bgColor rgb="FFFF0000"/>
        </patternFill>
      </fill>
    </dxf>
    <dxf>
      <fill>
        <patternFill>
          <bgColor rgb="FFFF66FF"/>
        </patternFill>
      </fill>
    </dxf>
    <dxf>
      <font>
        <color theme="0"/>
      </font>
      <fill>
        <patternFill>
          <bgColor rgb="FF002060"/>
        </patternFill>
      </fill>
    </dxf>
    <dxf>
      <font>
        <b val="0"/>
        <i val="0"/>
      </font>
      <fill>
        <patternFill>
          <bgColor rgb="FF00FF00"/>
        </patternFill>
      </fill>
    </dxf>
    <dxf>
      <font>
        <b val="0"/>
        <i val="0"/>
        <color theme="0"/>
      </font>
      <fill>
        <patternFill>
          <bgColor rgb="FF7030A0"/>
        </patternFill>
      </fill>
    </dxf>
    <dxf>
      <fill>
        <patternFill>
          <bgColor theme="4" tint="0.59996337778862885"/>
        </patternFill>
      </fill>
    </dxf>
    <dxf>
      <fill>
        <patternFill>
          <bgColor theme="7"/>
        </patternFill>
      </fill>
    </dxf>
    <dxf>
      <font>
        <color theme="0"/>
      </font>
      <fill>
        <patternFill>
          <bgColor theme="2" tint="-0.749961851863155"/>
        </patternFill>
      </fill>
    </dxf>
    <dxf>
      <font>
        <b val="0"/>
        <i val="0"/>
      </font>
      <fill>
        <patternFill>
          <bgColor rgb="FF66FFFF"/>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b val="0"/>
        <i val="0"/>
      </font>
      <fill>
        <patternFill>
          <bgColor theme="5"/>
        </patternFill>
      </fill>
    </dxf>
    <dxf>
      <fill>
        <patternFill>
          <bgColor rgb="FFFFFF00"/>
        </patternFill>
      </fill>
    </dxf>
    <dxf>
      <fill>
        <patternFill>
          <bgColor rgb="FF00B0F0"/>
        </patternFill>
      </fill>
    </dxf>
    <dxf>
      <font>
        <b val="0"/>
        <i val="0"/>
      </font>
      <fill>
        <patternFill>
          <bgColor rgb="FFFF0000"/>
        </patternFill>
      </fill>
    </dxf>
    <dxf>
      <fill>
        <patternFill>
          <bgColor rgb="FF00B050"/>
        </patternFill>
      </fill>
    </dxf>
    <dxf>
      <fill>
        <patternFill>
          <bgColor rgb="FFFF66FF"/>
        </patternFill>
      </fill>
    </dxf>
    <dxf>
      <font>
        <color theme="0"/>
      </font>
      <fill>
        <patternFill>
          <bgColor rgb="FF002060"/>
        </patternFill>
      </fill>
    </dxf>
    <dxf>
      <font>
        <b val="0"/>
        <i val="0"/>
      </font>
      <fill>
        <patternFill>
          <bgColor rgb="FF00FF00"/>
        </patternFill>
      </fill>
    </dxf>
    <dxf>
      <font>
        <b val="0"/>
        <i val="0"/>
        <color theme="0"/>
      </font>
      <fill>
        <patternFill>
          <bgColor rgb="FF7030A0"/>
        </patternFill>
      </fill>
    </dxf>
    <dxf>
      <font>
        <b val="0"/>
        <i val="0"/>
      </font>
      <fill>
        <patternFill>
          <bgColor theme="4" tint="0.59996337778862885"/>
        </patternFill>
      </fill>
    </dxf>
    <dxf>
      <font>
        <b val="0"/>
        <i val="0"/>
      </font>
      <fill>
        <patternFill>
          <bgColor theme="7"/>
        </patternFill>
      </fill>
    </dxf>
    <dxf>
      <font>
        <b val="0"/>
        <i val="0"/>
        <color theme="0"/>
      </font>
      <fill>
        <patternFill>
          <bgColor theme="1" tint="0.24994659260841701"/>
        </patternFill>
      </fill>
    </dxf>
    <dxf>
      <font>
        <b val="0"/>
        <i val="0"/>
        <color theme="1"/>
      </font>
      <fill>
        <patternFill>
          <bgColor rgb="FF66FFFF"/>
        </patternFill>
      </fill>
    </dxf>
    <dxf>
      <font>
        <b val="0"/>
        <i val="0"/>
      </font>
      <fill>
        <patternFill>
          <bgColor theme="5"/>
        </patternFill>
      </fill>
    </dxf>
    <dxf>
      <fill>
        <patternFill>
          <bgColor rgb="FFFFFF00"/>
        </patternFill>
      </fill>
    </dxf>
    <dxf>
      <fill>
        <patternFill>
          <bgColor rgb="FF00B0F0"/>
        </patternFill>
      </fill>
    </dxf>
    <dxf>
      <font>
        <b val="0"/>
        <i val="0"/>
      </font>
      <fill>
        <patternFill>
          <bgColor rgb="FFFF0000"/>
        </patternFill>
      </fill>
    </dxf>
    <dxf>
      <fill>
        <patternFill>
          <bgColor rgb="FF00B050"/>
        </patternFill>
      </fill>
    </dxf>
    <dxf>
      <fill>
        <patternFill>
          <bgColor rgb="FFFF66FF"/>
        </patternFill>
      </fill>
    </dxf>
    <dxf>
      <font>
        <b val="0"/>
        <i val="0"/>
      </font>
      <fill>
        <patternFill>
          <bgColor theme="5"/>
        </patternFill>
      </fill>
    </dxf>
    <dxf>
      <fill>
        <patternFill>
          <bgColor rgb="FFFFFF00"/>
        </patternFill>
      </fill>
    </dxf>
    <dxf>
      <fill>
        <patternFill>
          <bgColor rgb="FF00B0F0"/>
        </patternFill>
      </fill>
    </dxf>
    <dxf>
      <font>
        <b val="0"/>
        <i val="0"/>
      </font>
      <fill>
        <patternFill>
          <bgColor rgb="FFFF0000"/>
        </patternFill>
      </fill>
    </dxf>
    <dxf>
      <fill>
        <patternFill>
          <bgColor rgb="FF00B050"/>
        </patternFill>
      </fill>
    </dxf>
    <dxf>
      <fill>
        <patternFill>
          <bgColor rgb="FFFF66FF"/>
        </patternFill>
      </fill>
    </dxf>
    <dxf>
      <font>
        <b val="0"/>
        <i val="0"/>
      </font>
      <fill>
        <patternFill>
          <bgColor theme="5"/>
        </patternFill>
      </fill>
    </dxf>
    <dxf>
      <fill>
        <patternFill>
          <bgColor rgb="FFFFFF00"/>
        </patternFill>
      </fill>
    </dxf>
    <dxf>
      <fill>
        <patternFill>
          <bgColor rgb="FF00B0F0"/>
        </patternFill>
      </fill>
    </dxf>
    <dxf>
      <font>
        <b val="0"/>
        <i val="0"/>
      </font>
      <fill>
        <patternFill>
          <bgColor rgb="FFFF0000"/>
        </patternFill>
      </fill>
    </dxf>
    <dxf>
      <fill>
        <patternFill>
          <bgColor rgb="FF00B050"/>
        </patternFill>
      </fill>
    </dxf>
    <dxf>
      <fill>
        <patternFill>
          <bgColor rgb="FFFF66FF"/>
        </patternFill>
      </fill>
    </dxf>
    <dxf>
      <font>
        <color theme="0"/>
      </font>
      <fill>
        <patternFill>
          <bgColor rgb="FF002060"/>
        </patternFill>
      </fill>
    </dxf>
    <dxf>
      <font>
        <b val="0"/>
        <i val="0"/>
      </font>
      <fill>
        <patternFill>
          <bgColor rgb="FF00FF00"/>
        </patternFill>
      </fill>
    </dxf>
    <dxf>
      <font>
        <b val="0"/>
        <i val="0"/>
        <color theme="0"/>
      </font>
      <fill>
        <patternFill>
          <bgColor rgb="FF7030A0"/>
        </patternFill>
      </fill>
    </dxf>
    <dxf>
      <font>
        <b val="0"/>
        <i val="0"/>
      </font>
      <fill>
        <patternFill>
          <bgColor theme="4" tint="0.59996337778862885"/>
        </patternFill>
      </fill>
    </dxf>
    <dxf>
      <font>
        <b val="0"/>
        <i val="0"/>
      </font>
      <fill>
        <patternFill>
          <bgColor theme="7"/>
        </patternFill>
      </fill>
    </dxf>
    <dxf>
      <font>
        <b val="0"/>
        <i val="0"/>
        <color theme="0"/>
      </font>
      <fill>
        <patternFill>
          <bgColor theme="1" tint="0.24994659260841701"/>
        </patternFill>
      </fill>
    </dxf>
    <dxf>
      <font>
        <b val="0"/>
        <i val="0"/>
        <color theme="1"/>
      </font>
      <fill>
        <patternFill>
          <bgColor rgb="FF66FFFF"/>
        </patternFill>
      </fill>
    </dxf>
    <dxf>
      <font>
        <b val="0"/>
        <i val="0"/>
      </font>
      <fill>
        <patternFill>
          <bgColor theme="5"/>
        </patternFill>
      </fill>
    </dxf>
    <dxf>
      <fill>
        <patternFill>
          <bgColor rgb="FFFFFF00"/>
        </patternFill>
      </fill>
    </dxf>
    <dxf>
      <fill>
        <patternFill>
          <bgColor rgb="FF00B0F0"/>
        </patternFill>
      </fill>
    </dxf>
    <dxf>
      <font>
        <b val="0"/>
        <i val="0"/>
      </font>
      <fill>
        <patternFill>
          <bgColor rgb="FFFF0000"/>
        </patternFill>
      </fill>
    </dxf>
    <dxf>
      <fill>
        <patternFill>
          <bgColor rgb="FF00B050"/>
        </patternFill>
      </fill>
    </dxf>
    <dxf>
      <fill>
        <patternFill>
          <bgColor rgb="FFFF66FF"/>
        </patternFill>
      </fill>
    </dxf>
    <dxf>
      <font>
        <b val="0"/>
        <i val="0"/>
      </font>
      <fill>
        <patternFill>
          <bgColor theme="5"/>
        </patternFill>
      </fill>
    </dxf>
    <dxf>
      <fill>
        <patternFill>
          <bgColor rgb="FFFFFF00"/>
        </patternFill>
      </fill>
    </dxf>
    <dxf>
      <fill>
        <patternFill>
          <bgColor rgb="FF00B0F0"/>
        </patternFill>
      </fill>
    </dxf>
    <dxf>
      <font>
        <b val="0"/>
        <i val="0"/>
      </font>
      <fill>
        <patternFill>
          <bgColor rgb="FFFF0000"/>
        </patternFill>
      </fill>
    </dxf>
    <dxf>
      <fill>
        <patternFill>
          <bgColor rgb="FF00B050"/>
        </patternFill>
      </fill>
    </dxf>
    <dxf>
      <fill>
        <patternFill>
          <bgColor rgb="FFFF66FF"/>
        </patternFill>
      </fill>
    </dxf>
    <dxf>
      <font>
        <b val="0"/>
        <i val="0"/>
      </font>
      <fill>
        <patternFill>
          <bgColor theme="5"/>
        </patternFill>
      </fill>
    </dxf>
    <dxf>
      <fill>
        <patternFill>
          <bgColor rgb="FFFFFF00"/>
        </patternFill>
      </fill>
    </dxf>
    <dxf>
      <fill>
        <patternFill>
          <bgColor rgb="FF00B0F0"/>
        </patternFill>
      </fill>
    </dxf>
    <dxf>
      <font>
        <b val="0"/>
        <i val="0"/>
      </font>
      <fill>
        <patternFill>
          <bgColor rgb="FFFF0000"/>
        </patternFill>
      </fill>
    </dxf>
    <dxf>
      <fill>
        <patternFill>
          <bgColor rgb="FF00B050"/>
        </patternFill>
      </fill>
    </dxf>
    <dxf>
      <fill>
        <patternFill>
          <bgColor rgb="FFFF66FF"/>
        </patternFill>
      </fill>
    </dxf>
    <dxf>
      <font>
        <color theme="0"/>
      </font>
      <fill>
        <patternFill>
          <bgColor rgb="FF002060"/>
        </patternFill>
      </fill>
    </dxf>
    <dxf>
      <font>
        <b val="0"/>
        <i val="0"/>
      </font>
      <fill>
        <patternFill>
          <bgColor rgb="FF00FF00"/>
        </patternFill>
      </fill>
    </dxf>
    <dxf>
      <font>
        <b val="0"/>
        <i val="0"/>
        <color theme="0"/>
      </font>
      <fill>
        <patternFill>
          <bgColor rgb="FF7030A0"/>
        </patternFill>
      </fill>
    </dxf>
    <dxf>
      <font>
        <b val="0"/>
        <i val="0"/>
      </font>
      <fill>
        <patternFill>
          <bgColor theme="5"/>
        </patternFill>
      </fill>
    </dxf>
    <dxf>
      <fill>
        <patternFill>
          <bgColor rgb="FFFFFF00"/>
        </patternFill>
      </fill>
    </dxf>
    <dxf>
      <fill>
        <patternFill>
          <bgColor rgb="FF00B0F0"/>
        </patternFill>
      </fill>
    </dxf>
    <dxf>
      <font>
        <b val="0"/>
        <i val="0"/>
      </font>
      <fill>
        <patternFill>
          <bgColor rgb="FFFF0000"/>
        </patternFill>
      </fill>
    </dxf>
    <dxf>
      <fill>
        <patternFill>
          <bgColor rgb="FF00B050"/>
        </patternFill>
      </fill>
    </dxf>
    <dxf>
      <fill>
        <patternFill>
          <bgColor rgb="FFFF66FF"/>
        </patternFill>
      </fill>
    </dxf>
    <dxf>
      <font>
        <color theme="0"/>
      </font>
      <fill>
        <patternFill>
          <bgColor rgb="FF002060"/>
        </patternFill>
      </fill>
    </dxf>
    <dxf>
      <font>
        <b val="0"/>
        <i val="0"/>
      </font>
      <fill>
        <patternFill>
          <bgColor rgb="FF00FF00"/>
        </patternFill>
      </fill>
    </dxf>
    <dxf>
      <font>
        <b val="0"/>
        <i val="0"/>
        <color theme="0"/>
      </font>
      <fill>
        <patternFill>
          <bgColor rgb="FF7030A0"/>
        </patternFill>
      </fill>
    </dxf>
    <dxf>
      <font>
        <b val="0"/>
        <i val="0"/>
      </font>
      <fill>
        <patternFill>
          <bgColor theme="4" tint="0.59996337778862885"/>
        </patternFill>
      </fill>
    </dxf>
    <dxf>
      <font>
        <b val="0"/>
        <i val="0"/>
      </font>
      <fill>
        <patternFill>
          <bgColor theme="7"/>
        </patternFill>
      </fill>
    </dxf>
    <dxf>
      <font>
        <b val="0"/>
        <i val="0"/>
        <color theme="0"/>
      </font>
      <fill>
        <patternFill>
          <bgColor theme="1" tint="0.24994659260841701"/>
        </patternFill>
      </fill>
    </dxf>
    <dxf>
      <font>
        <b val="0"/>
        <i val="0"/>
        <color theme="1"/>
      </font>
      <fill>
        <patternFill>
          <bgColor rgb="FF66FFFF"/>
        </patternFill>
      </fill>
    </dxf>
    <dxf>
      <font>
        <b val="0"/>
        <i val="0"/>
      </font>
      <fill>
        <patternFill>
          <bgColor theme="5"/>
        </patternFill>
      </fill>
    </dxf>
    <dxf>
      <fill>
        <patternFill>
          <bgColor rgb="FFFFFF00"/>
        </patternFill>
      </fill>
    </dxf>
    <dxf>
      <fill>
        <patternFill>
          <bgColor rgb="FF00B0F0"/>
        </patternFill>
      </fill>
    </dxf>
    <dxf>
      <font>
        <b val="0"/>
        <i val="0"/>
      </font>
      <fill>
        <patternFill>
          <bgColor rgb="FFFF0000"/>
        </patternFill>
      </fill>
    </dxf>
    <dxf>
      <fill>
        <patternFill>
          <bgColor rgb="FF00B050"/>
        </patternFill>
      </fill>
    </dxf>
    <dxf>
      <fill>
        <patternFill>
          <bgColor rgb="FFFF66FF"/>
        </patternFill>
      </fill>
    </dxf>
  </dxfs>
  <tableStyles count="0" defaultTableStyle="TableStyleMedium2" defaultPivotStyle="PivotStyleLight16"/>
  <colors>
    <mruColors>
      <color rgb="FFFFCCFF"/>
      <color rgb="FFCCCCFF"/>
      <color rgb="FFCC99FF"/>
      <color rgb="FFFFCC99"/>
      <color rgb="FF99FFCC"/>
      <color rgb="FFFFFF99"/>
      <color rgb="FFCCFF99"/>
      <color rgb="FFFFCCCC"/>
      <color rgb="FFFF7C8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6:P86" totalsRowShown="0" headerRowDxfId="59" dataDxfId="58" tableBorderDxfId="57">
  <autoFilter ref="A6:P86">
    <filterColumn colId="0">
      <filters>
        <filter val="Órden de Pago"/>
        <filter val="Pago de Cliente"/>
      </filters>
    </filterColumn>
  </autoFilter>
  <sortState ref="A7:P81">
    <sortCondition ref="A7:A81"/>
  </sortState>
  <tableColumns count="16">
    <tableColumn id="1" name="Entidad" dataDxfId="56"/>
    <tableColumn id="9" name="Descripción" dataDxfId="55"/>
    <tableColumn id="2" name="Padre?" dataDxfId="54"/>
    <tableColumn id="3" name="Entidad Relacionada" dataDxfId="53"/>
    <tableColumn id="4" name="Entidad Padre" dataDxfId="52"/>
    <tableColumn id="5" name="Atributos del Padre" dataDxfId="51">
      <calculatedColumnFormula>IF(C7&lt;&gt;"S",INDIRECT("G"&amp;MATCH(E7,$A$1:$A$100,0)),"NA")</calculatedColumnFormula>
    </tableColumn>
    <tableColumn id="6" name="Atributos de la Entidad" dataDxfId="50"/>
    <tableColumn id="7" name="Status del Padre" dataDxfId="49">
      <calculatedColumnFormula>IF(C7&lt;&gt;"S",INDIRECT("I"&amp;MATCH(E7,$A$1:$A$100,0)),"NA")</calculatedColumnFormula>
    </tableColumn>
    <tableColumn id="8" name="Status de la Entidad" dataDxfId="48"/>
    <tableColumn id="11" name="Acciones del Padre" dataDxfId="47">
      <calculatedColumnFormula>IF(C7&lt;&gt;"S",INDIRECT("K"&amp;MATCH(E7,$A$1:$A$100,0)),"NA")</calculatedColumnFormula>
    </tableColumn>
    <tableColumn id="10" name="Acciones de la Entidad" dataDxfId="46"/>
    <tableColumn id="12" name="Configuración" dataDxfId="45"/>
    <tableColumn id="13" name="Regla de Negocio" dataDxfId="44"/>
    <tableColumn id="14" name="Cuenta Mayor" dataDxfId="43"/>
    <tableColumn id="15" name="SubCuenta" dataDxfId="42"/>
    <tableColumn id="16" name="Identificador" dataDxfId="41"/>
  </tableColumns>
  <tableStyleInfo name="TableStyleDark2" showFirstColumn="0" showLastColumn="0" showRowStripes="1" showColumnStripes="0"/>
</table>
</file>

<file path=xl/tables/table2.xml><?xml version="1.0" encoding="utf-8"?>
<table xmlns="http://schemas.openxmlformats.org/spreadsheetml/2006/main" id="3" name="Table3" displayName="Table3" ref="A2:K31" totalsRowShown="0" headerRowDxfId="40" dataDxfId="39" tableBorderDxfId="38">
  <autoFilter ref="A2:K31"/>
  <tableColumns count="11">
    <tableColumn id="1" name="Proceso" dataDxfId="37"/>
    <tableColumn id="2" name="Descripción" dataDxfId="36"/>
    <tableColumn id="3" name="Actor" dataDxfId="35"/>
    <tableColumn id="4" name="Paso" dataDxfId="34"/>
    <tableColumn id="5" name="Antecedente" dataDxfId="33"/>
    <tableColumn id="6" name="Acción" dataDxfId="32"/>
    <tableColumn id="7" name="Historia Antes" dataDxfId="31"/>
    <tableColumn id="8" name="Historia Después" dataDxfId="30"/>
    <tableColumn id="9" name="Condición" dataDxfId="29"/>
    <tableColumn id="10" name="Comentarios" dataDxfId="28"/>
    <tableColumn id="11" name="Caso de Uso" dataDxfId="27"/>
  </tableColumns>
  <tableStyleInfo name="TableStyleDark7" showFirstColumn="0" showLastColumn="0" showRowStripes="1" showColumnStripes="0"/>
</table>
</file>

<file path=xl/tables/table3.xml><?xml version="1.0" encoding="utf-8"?>
<table xmlns="http://schemas.openxmlformats.org/spreadsheetml/2006/main" id="2" name="Table2" displayName="Table2" ref="A2:M28" totalsRowShown="0" headerRowDxfId="26" headerRowBorderDxfId="25" tableBorderDxfId="24" totalsRowBorderDxfId="23">
  <autoFilter ref="A2:M28"/>
  <sortState ref="A3:M28">
    <sortCondition ref="D3:D28"/>
  </sortState>
  <tableColumns count="13">
    <tableColumn id="1" name="Método" dataDxfId="22"/>
    <tableColumn id="2" name="Descripción" dataDxfId="21"/>
    <tableColumn id="3" name="Padre?" dataDxfId="20"/>
    <tableColumn id="21" name="Orden" dataDxfId="19"/>
    <tableColumn id="4" name="Método Relacionado" dataDxfId="18"/>
    <tableColumn id="5" name="Método Padre" dataDxfId="17"/>
    <tableColumn id="14" name="Clase de pertenencia" dataDxfId="16"/>
    <tableColumn id="8" name="Parámetros del Padre" dataDxfId="15"/>
    <tableColumn id="7" name="Atributos de la Clase" dataDxfId="14">
      <calculatedColumnFormula>VLOOKUP(Table2[[#This Row],[Clase de pertenencia]],Table1[[#All],[Entidad]:[Atributos de la Entidad]],7,FALSE)</calculatedColumnFormula>
    </tableColumn>
    <tableColumn id="16" name="Acciones del padre" dataDxfId="13">
      <calculatedColumnFormula>IF(C3&lt;&gt;"S",INDIRECT("K"&amp;MATCH(F3,$A$1:$A$98,0)),"NA")</calculatedColumnFormula>
    </tableColumn>
    <tableColumn id="11" name="Acciones" dataDxfId="12"/>
    <tableColumn id="19" name="Postcondición" dataDxfId="11">
      <calculatedColumnFormula>COUNTIF(Table2[Método Padre],Table2[[#This Row],[Método]])</calculatedColumnFormula>
    </tableColumn>
    <tableColumn id="9" name="Acciones de la Postcondición" dataDxfId="10"/>
  </tableColumns>
  <tableStyleInfo name="TableStyleDark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4"/>
  <sheetViews>
    <sheetView workbookViewId="0"/>
  </sheetViews>
  <sheetFormatPr defaultRowHeight="15" x14ac:dyDescent="0.25"/>
  <cols>
    <col min="1" max="1" width="28.140625" bestFit="1" customWidth="1"/>
    <col min="2" max="2" width="7.140625" bestFit="1" customWidth="1"/>
    <col min="3" max="3" width="89.5703125" customWidth="1"/>
    <col min="4" max="4" width="18.42578125" customWidth="1"/>
    <col min="5" max="5" width="42.7109375" bestFit="1" customWidth="1"/>
    <col min="7" max="7" width="2" bestFit="1" customWidth="1"/>
    <col min="8" max="8" width="42.7109375" bestFit="1" customWidth="1"/>
  </cols>
  <sheetData>
    <row r="1" spans="1:3" x14ac:dyDescent="0.25">
      <c r="A1" s="41" t="s">
        <v>8</v>
      </c>
      <c r="B1" s="42" t="s">
        <v>15</v>
      </c>
      <c r="C1" s="43" t="s">
        <v>16</v>
      </c>
    </row>
    <row r="2" spans="1:3" ht="26.25" x14ac:dyDescent="0.25">
      <c r="A2" s="44" t="s">
        <v>819</v>
      </c>
      <c r="B2" s="45" t="s">
        <v>814</v>
      </c>
      <c r="C2" s="46" t="s">
        <v>29</v>
      </c>
    </row>
    <row r="3" spans="1:3" ht="39" x14ac:dyDescent="0.25">
      <c r="A3" s="47" t="s">
        <v>812</v>
      </c>
      <c r="B3" s="48" t="s">
        <v>813</v>
      </c>
      <c r="C3" s="49" t="s">
        <v>30</v>
      </c>
    </row>
    <row r="4" spans="1:3" ht="51.75" x14ac:dyDescent="0.25">
      <c r="A4" s="83" t="s">
        <v>820</v>
      </c>
      <c r="B4" s="50" t="s">
        <v>821</v>
      </c>
      <c r="C4" s="51" t="s">
        <v>31</v>
      </c>
    </row>
    <row r="5" spans="1:3" ht="39" x14ac:dyDescent="0.25">
      <c r="A5" s="52" t="s">
        <v>810</v>
      </c>
      <c r="B5" s="53" t="s">
        <v>822</v>
      </c>
      <c r="C5" s="54" t="s">
        <v>32</v>
      </c>
    </row>
    <row r="6" spans="1:3" ht="26.25" x14ac:dyDescent="0.25">
      <c r="A6" s="55" t="s">
        <v>811</v>
      </c>
      <c r="B6" s="56" t="s">
        <v>823</v>
      </c>
      <c r="C6" s="57" t="s">
        <v>33</v>
      </c>
    </row>
    <row r="7" spans="1:3" ht="64.5" x14ac:dyDescent="0.25">
      <c r="A7" s="58" t="s">
        <v>817</v>
      </c>
      <c r="B7" s="59" t="s">
        <v>816</v>
      </c>
      <c r="C7" s="60" t="s">
        <v>34</v>
      </c>
    </row>
    <row r="8" spans="1:3" ht="39" x14ac:dyDescent="0.25">
      <c r="A8" s="38" t="s">
        <v>120</v>
      </c>
      <c r="B8" s="38" t="s">
        <v>121</v>
      </c>
      <c r="C8" s="61" t="s">
        <v>130</v>
      </c>
    </row>
    <row r="9" spans="1:3" ht="39" x14ac:dyDescent="0.25">
      <c r="A9" s="72" t="s">
        <v>815</v>
      </c>
      <c r="B9" s="73" t="s">
        <v>687</v>
      </c>
      <c r="C9" s="74" t="s">
        <v>689</v>
      </c>
    </row>
    <row r="10" spans="1:3" ht="26.25" x14ac:dyDescent="0.25">
      <c r="A10" s="75" t="s">
        <v>686</v>
      </c>
      <c r="B10" s="76" t="s">
        <v>688</v>
      </c>
      <c r="C10" s="77" t="s">
        <v>690</v>
      </c>
    </row>
    <row r="11" spans="1:3" ht="26.25" x14ac:dyDescent="0.25">
      <c r="A11" s="84" t="s">
        <v>818</v>
      </c>
      <c r="B11" s="85" t="s">
        <v>824</v>
      </c>
      <c r="C11" s="86" t="s">
        <v>825</v>
      </c>
    </row>
    <row r="12" spans="1:3" ht="39" x14ac:dyDescent="0.25">
      <c r="A12" s="87" t="s">
        <v>828</v>
      </c>
      <c r="B12" s="88" t="s">
        <v>826</v>
      </c>
      <c r="C12" s="89" t="s">
        <v>827</v>
      </c>
    </row>
    <row r="13" spans="1:3" ht="39" x14ac:dyDescent="0.25">
      <c r="A13" s="92" t="s">
        <v>848</v>
      </c>
      <c r="B13" s="90" t="s">
        <v>849</v>
      </c>
      <c r="C13" s="91" t="s">
        <v>850</v>
      </c>
    </row>
    <row r="14" spans="1:3" ht="26.25" x14ac:dyDescent="0.25">
      <c r="A14" s="94" t="s">
        <v>6</v>
      </c>
      <c r="B14" s="95" t="s">
        <v>914</v>
      </c>
      <c r="C14" s="96" t="s">
        <v>913</v>
      </c>
    </row>
  </sheetData>
  <sortState ref="C3:E8">
    <sortCondition ref="C3:C8"/>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0"/>
  <sheetViews>
    <sheetView tabSelected="1" workbookViewId="0">
      <selection activeCell="C21" sqref="C21"/>
    </sheetView>
  </sheetViews>
  <sheetFormatPr defaultRowHeight="15" x14ac:dyDescent="0.25"/>
  <cols>
    <col min="1" max="1" width="10.7109375" customWidth="1"/>
    <col min="2" max="2" width="38.42578125" bestFit="1" customWidth="1"/>
    <col min="3" max="3" width="38.42578125" customWidth="1"/>
    <col min="4" max="4" width="4.28515625" bestFit="1" customWidth="1"/>
    <col min="7" max="7" width="37" bestFit="1" customWidth="1"/>
  </cols>
  <sheetData>
    <row r="1" spans="1:8" x14ac:dyDescent="0.25">
      <c r="A1" s="151" t="s">
        <v>18</v>
      </c>
      <c r="B1" s="151"/>
      <c r="C1" s="12" t="s">
        <v>8</v>
      </c>
      <c r="D1" s="13"/>
      <c r="E1" s="12" t="s">
        <v>56</v>
      </c>
      <c r="G1" s="5" t="s">
        <v>35</v>
      </c>
      <c r="H1" s="5"/>
    </row>
    <row r="2" spans="1:8" x14ac:dyDescent="0.25">
      <c r="A2" s="5" t="s">
        <v>15</v>
      </c>
      <c r="B2" s="5" t="s">
        <v>14</v>
      </c>
      <c r="C2" s="5"/>
      <c r="D2" s="5" t="s">
        <v>37</v>
      </c>
      <c r="E2" s="5"/>
      <c r="G2" s="15" t="str">
        <f t="array" ref="G2:G14">Objetivos</f>
        <v>Tomas de órdenes y Comandas</v>
      </c>
      <c r="H2" s="5">
        <f t="shared" ref="H2:H14" si="0">COUNTIFS($C$3:$C$48,G2)</f>
        <v>1</v>
      </c>
    </row>
    <row r="3" spans="1:8" x14ac:dyDescent="0.25">
      <c r="A3" s="5" t="str">
        <f>CONCATENATE(VLOOKUP(C3,Objetivos!$A$2:$B$19,2,FALSE),"_",D3)</f>
        <v>Caj_01</v>
      </c>
      <c r="B3" s="5" t="s">
        <v>809</v>
      </c>
      <c r="C3" s="5" t="s">
        <v>828</v>
      </c>
      <c r="D3" s="14" t="s">
        <v>47</v>
      </c>
      <c r="E3">
        <v>1</v>
      </c>
      <c r="G3" s="16" t="str">
        <v>Órdenes de Compra y Proveedores</v>
      </c>
      <c r="H3" s="5">
        <f t="shared" si="0"/>
        <v>4</v>
      </c>
    </row>
    <row r="4" spans="1:8" x14ac:dyDescent="0.25">
      <c r="A4" s="5" t="str">
        <f>CONCATENATE(VLOOKUP(C4,Objetivos!$A$2:$B$19,2,FALSE),"_",D4)</f>
        <v>Caj_02</v>
      </c>
      <c r="B4" s="5" t="s">
        <v>927</v>
      </c>
      <c r="C4" s="5" t="s">
        <v>828</v>
      </c>
      <c r="D4" s="14" t="s">
        <v>48</v>
      </c>
      <c r="E4">
        <v>1</v>
      </c>
      <c r="G4" s="17" t="str">
        <v>Recepción de Mercancías al Almacén</v>
      </c>
      <c r="H4" s="5">
        <f t="shared" si="0"/>
        <v>2</v>
      </c>
    </row>
    <row r="5" spans="1:8" x14ac:dyDescent="0.25">
      <c r="A5" s="5" t="str">
        <f>CONCATENATE(VLOOKUP(C5,Objetivos!$A$2:$B$19,2,FALSE),"_",D5)</f>
        <v>Cli_01</v>
      </c>
      <c r="B5" s="5" t="s">
        <v>691</v>
      </c>
      <c r="C5" s="5" t="s">
        <v>815</v>
      </c>
      <c r="D5" s="14" t="s">
        <v>47</v>
      </c>
      <c r="E5">
        <v>1</v>
      </c>
      <c r="G5" s="18" t="str">
        <v>Inventarios</v>
      </c>
      <c r="H5" s="5">
        <f t="shared" si="0"/>
        <v>3</v>
      </c>
    </row>
    <row r="6" spans="1:8" x14ac:dyDescent="0.25">
      <c r="A6" s="5" t="str">
        <f>CONCATENATE(VLOOKUP(C6,Objetivos!$A$2:$B$19,2,FALSE),"_",D6)</f>
        <v>Cli_02</v>
      </c>
      <c r="B6" s="5" t="s">
        <v>808</v>
      </c>
      <c r="C6" s="5" t="s">
        <v>815</v>
      </c>
      <c r="D6" s="14" t="s">
        <v>48</v>
      </c>
      <c r="E6">
        <v>1</v>
      </c>
      <c r="G6" s="19" t="str">
        <v>Cuentas por Pagar</v>
      </c>
      <c r="H6" s="5">
        <f t="shared" si="0"/>
        <v>4</v>
      </c>
    </row>
    <row r="7" spans="1:8" x14ac:dyDescent="0.25">
      <c r="A7" s="5" t="str">
        <f>CONCATENATE(VLOOKUP(C7,Objetivos!$A$2:$B$19,2,FALSE),"_",D7)</f>
        <v>Cli_03</v>
      </c>
      <c r="B7" s="5" t="s">
        <v>829</v>
      </c>
      <c r="C7" s="5" t="s">
        <v>815</v>
      </c>
      <c r="D7" s="14" t="s">
        <v>49</v>
      </c>
      <c r="E7">
        <v>1</v>
      </c>
      <c r="G7" s="20" t="str">
        <v>Movimientos del almacén</v>
      </c>
      <c r="H7" s="5">
        <f t="shared" si="0"/>
        <v>2</v>
      </c>
    </row>
    <row r="8" spans="1:8" x14ac:dyDescent="0.25">
      <c r="A8" s="5" t="str">
        <f>CONCATENATE(VLOOKUP(C8,Objetivos!$A$2:$B$19,2,FALSE),"_",D8)</f>
        <v>Cli_04</v>
      </c>
      <c r="B8" s="5" t="s">
        <v>844</v>
      </c>
      <c r="C8" s="5" t="s">
        <v>815</v>
      </c>
      <c r="D8" s="14" t="s">
        <v>50</v>
      </c>
      <c r="E8">
        <v>1</v>
      </c>
      <c r="G8" s="38" t="str">
        <v>Reporteo</v>
      </c>
      <c r="H8" s="5">
        <f t="shared" si="0"/>
        <v>7</v>
      </c>
    </row>
    <row r="9" spans="1:8" x14ac:dyDescent="0.25">
      <c r="A9" s="5" t="str">
        <f>CONCATENATE(VLOOKUP(C9,Objetivos!$A$2:$B$19,2,FALSE),"_",D9)</f>
        <v>Com_01</v>
      </c>
      <c r="B9" s="5" t="s">
        <v>17</v>
      </c>
      <c r="C9" s="5" t="s">
        <v>819</v>
      </c>
      <c r="D9" s="14" t="s">
        <v>47</v>
      </c>
      <c r="E9" s="5">
        <v>1</v>
      </c>
      <c r="G9" s="78" t="str">
        <v>Clientes y Cuentas por Cobrar</v>
      </c>
      <c r="H9" s="5">
        <f t="shared" si="0"/>
        <v>4</v>
      </c>
    </row>
    <row r="10" spans="1:8" x14ac:dyDescent="0.25">
      <c r="A10" s="5" t="str">
        <f>CONCATENATE(VLOOKUP(C10,Objetivos!$A$2:$B$19,2,FALSE),"_",D10)</f>
        <v>Con_01</v>
      </c>
      <c r="B10" s="5" t="s">
        <v>692</v>
      </c>
      <c r="C10" s="5" t="s">
        <v>686</v>
      </c>
      <c r="D10" s="14" t="s">
        <v>47</v>
      </c>
      <c r="E10">
        <v>1</v>
      </c>
      <c r="G10" s="79" t="str">
        <v>Contabilidad</v>
      </c>
      <c r="H10" s="5">
        <f t="shared" si="0"/>
        <v>4</v>
      </c>
    </row>
    <row r="11" spans="1:8" ht="26.25" x14ac:dyDescent="0.25">
      <c r="A11" s="5" t="str">
        <f>CONCATENATE(VLOOKUP(C11,Objetivos!$A$2:$B$19,2,FALSE),"_",D11)</f>
        <v>Con_02</v>
      </c>
      <c r="B11" s="5" t="s">
        <v>864</v>
      </c>
      <c r="C11" s="5" t="s">
        <v>686</v>
      </c>
      <c r="D11" s="14" t="s">
        <v>48</v>
      </c>
      <c r="E11">
        <v>1</v>
      </c>
      <c r="G11" s="84" t="str">
        <v>Administración de Catálogos y Registros Maestros</v>
      </c>
      <c r="H11" s="5">
        <f t="shared" si="0"/>
        <v>4</v>
      </c>
    </row>
    <row r="12" spans="1:8" x14ac:dyDescent="0.25">
      <c r="A12" s="5" t="str">
        <f>CONCATENATE(VLOOKUP(C12,Objetivos!$A$2:$B$19,2,FALSE),"_",D12)</f>
        <v>Con_03</v>
      </c>
      <c r="B12" s="5" t="s">
        <v>866</v>
      </c>
      <c r="C12" s="5" t="s">
        <v>686</v>
      </c>
      <c r="D12" s="14" t="s">
        <v>49</v>
      </c>
      <c r="E12">
        <v>1</v>
      </c>
      <c r="G12" s="87" t="str">
        <v>Cajas y Bancos</v>
      </c>
      <c r="H12" s="5">
        <f t="shared" si="0"/>
        <v>2</v>
      </c>
    </row>
    <row r="13" spans="1:8" ht="26.25" x14ac:dyDescent="0.25">
      <c r="A13" s="5" t="str">
        <f>CONCATENATE(VLOOKUP(C13,Objetivos!$A$2:$B$19,2,FALSE),"_",D13)</f>
        <v>CxP_01</v>
      </c>
      <c r="B13" s="5" t="s">
        <v>26</v>
      </c>
      <c r="C13" s="5" t="s">
        <v>811</v>
      </c>
      <c r="D13" s="14" t="s">
        <v>47</v>
      </c>
      <c r="E13" s="5">
        <v>1</v>
      </c>
      <c r="G13" s="92" t="str">
        <v>Administración de Usuarios, Permisos y Niveles Organizacionales</v>
      </c>
      <c r="H13" s="5">
        <f t="shared" si="0"/>
        <v>2</v>
      </c>
    </row>
    <row r="14" spans="1:8" x14ac:dyDescent="0.25">
      <c r="A14" s="5" t="str">
        <f>CONCATENATE(VLOOKUP(C14,Objetivos!$A$2:$B$19,2,FALSE),"_",D14)</f>
        <v>CxP_02</v>
      </c>
      <c r="B14" s="5" t="s">
        <v>805</v>
      </c>
      <c r="C14" s="5" t="s">
        <v>811</v>
      </c>
      <c r="D14" s="14" t="s">
        <v>48</v>
      </c>
      <c r="E14">
        <v>1</v>
      </c>
      <c r="G14" s="97" t="str">
        <v>Reglas de Negocio</v>
      </c>
      <c r="H14" s="5">
        <f t="shared" si="0"/>
        <v>1</v>
      </c>
    </row>
    <row r="15" spans="1:8" x14ac:dyDescent="0.25">
      <c r="A15" s="5" t="str">
        <f>CONCATENATE(VLOOKUP(C15,Objetivos!$A$2:$B$19,2,FALSE),"_",D15)</f>
        <v>CxP_03</v>
      </c>
      <c r="B15" s="5" t="s">
        <v>806</v>
      </c>
      <c r="C15" s="5" t="s">
        <v>811</v>
      </c>
      <c r="D15" s="14" t="s">
        <v>49</v>
      </c>
      <c r="E15">
        <v>1</v>
      </c>
      <c r="H15" s="5">
        <f>SUM(H2:H14)</f>
        <v>40</v>
      </c>
    </row>
    <row r="16" spans="1:8" x14ac:dyDescent="0.25">
      <c r="A16" s="5" t="str">
        <f>CONCATENATE(VLOOKUP(C16,Objetivos!$A$2:$B$19,2,FALSE),"_",D16)</f>
        <v>CxP_04</v>
      </c>
      <c r="B16" s="5" t="s">
        <v>807</v>
      </c>
      <c r="C16" s="5" t="s">
        <v>811</v>
      </c>
      <c r="D16" s="14" t="s">
        <v>50</v>
      </c>
      <c r="E16">
        <v>1</v>
      </c>
    </row>
    <row r="17" spans="1:7" x14ac:dyDescent="0.25">
      <c r="A17" s="5" t="str">
        <f>CONCATENATE(VLOOKUP(C17,Objetivos!$A$2:$B$19,2,FALSE),"_",D17)</f>
        <v>Inv_01</v>
      </c>
      <c r="B17" s="5" t="s">
        <v>24</v>
      </c>
      <c r="C17" s="5" t="s">
        <v>810</v>
      </c>
      <c r="D17" s="14" t="s">
        <v>47</v>
      </c>
      <c r="E17" s="5">
        <v>1</v>
      </c>
      <c r="G17" s="80" t="s">
        <v>701</v>
      </c>
    </row>
    <row r="18" spans="1:7" x14ac:dyDescent="0.25">
      <c r="A18" s="5" t="str">
        <f>CONCATENATE(VLOOKUP(C18,Objetivos!$A$2:$B$19,2,FALSE),"_",D18)</f>
        <v>Inv_02</v>
      </c>
      <c r="B18" s="5" t="s">
        <v>25</v>
      </c>
      <c r="C18" s="5" t="s">
        <v>810</v>
      </c>
      <c r="D18" s="14" t="s">
        <v>48</v>
      </c>
      <c r="E18" s="5">
        <v>1</v>
      </c>
      <c r="G18" s="81" t="s">
        <v>704</v>
      </c>
    </row>
    <row r="19" spans="1:7" x14ac:dyDescent="0.25">
      <c r="A19" s="5" t="str">
        <f>CONCATENATE(VLOOKUP(C19,Objetivos!$A$2:$B$19,2,FALSE),"_",D19)</f>
        <v>Inv_03</v>
      </c>
      <c r="B19" s="5" t="s">
        <v>21</v>
      </c>
      <c r="C19" s="5" t="s">
        <v>810</v>
      </c>
      <c r="D19" s="14" t="s">
        <v>49</v>
      </c>
      <c r="E19" s="5">
        <v>1</v>
      </c>
      <c r="G19" s="82" t="s">
        <v>702</v>
      </c>
    </row>
    <row r="20" spans="1:7" x14ac:dyDescent="0.25">
      <c r="A20" s="5" t="str">
        <f>CONCATENATE(VLOOKUP(C20,Objetivos!$A$2:$B$19,2,FALSE),"_",D20)</f>
        <v>Mas_01</v>
      </c>
      <c r="B20" s="5" t="s">
        <v>22</v>
      </c>
      <c r="C20" s="5" t="s">
        <v>818</v>
      </c>
      <c r="D20" s="14" t="s">
        <v>47</v>
      </c>
      <c r="E20" s="5">
        <v>1</v>
      </c>
      <c r="G20" s="81" t="s">
        <v>703</v>
      </c>
    </row>
    <row r="21" spans="1:7" x14ac:dyDescent="0.25">
      <c r="A21" s="5" t="str">
        <f>CONCATENATE(VLOOKUP(C21,Objetivos!$A$2:$B$19,2,FALSE),"_",D21)</f>
        <v>Mas_02</v>
      </c>
      <c r="B21" s="5" t="s">
        <v>858</v>
      </c>
      <c r="C21" s="5" t="s">
        <v>818</v>
      </c>
      <c r="D21" s="14" t="s">
        <v>48</v>
      </c>
      <c r="E21">
        <v>1</v>
      </c>
      <c r="G21" s="82" t="s">
        <v>705</v>
      </c>
    </row>
    <row r="22" spans="1:7" x14ac:dyDescent="0.25">
      <c r="A22" s="5" t="str">
        <f>CONCATENATE(VLOOKUP(C22,Objetivos!$A$2:$B$19,2,FALSE),"_",D22)</f>
        <v>Mas_03</v>
      </c>
      <c r="B22" s="5" t="s">
        <v>76</v>
      </c>
      <c r="C22" s="5" t="s">
        <v>818</v>
      </c>
      <c r="D22" s="14" t="s">
        <v>49</v>
      </c>
      <c r="E22" s="5">
        <v>1</v>
      </c>
      <c r="G22" s="82" t="s">
        <v>706</v>
      </c>
    </row>
    <row r="23" spans="1:7" x14ac:dyDescent="0.25">
      <c r="A23" s="5" t="str">
        <f>CONCATENATE(VLOOKUP(C23,Objetivos!$A$2:$B$19,2,FALSE),"_",D23)</f>
        <v>Mas_04</v>
      </c>
      <c r="B23" s="5" t="s">
        <v>888</v>
      </c>
      <c r="C23" s="5" t="s">
        <v>818</v>
      </c>
      <c r="D23" s="14" t="s">
        <v>50</v>
      </c>
      <c r="E23">
        <v>1</v>
      </c>
    </row>
    <row r="24" spans="1:7" x14ac:dyDescent="0.25">
      <c r="A24" s="5" t="str">
        <f>CONCATENATE(VLOOKUP(C24,Objetivos!$A$2:$B$19,2,FALSE),"_",D24)</f>
        <v>Mov_01</v>
      </c>
      <c r="B24" s="5" t="s">
        <v>27</v>
      </c>
      <c r="C24" s="5" t="s">
        <v>817</v>
      </c>
      <c r="D24" s="14" t="s">
        <v>47</v>
      </c>
      <c r="E24" s="5">
        <v>1</v>
      </c>
    </row>
    <row r="25" spans="1:7" x14ac:dyDescent="0.25">
      <c r="A25" s="5" t="str">
        <f>CONCATENATE(VLOOKUP(C25,Objetivos!$A$2:$B$19,2,FALSE),"_",D25)</f>
        <v>Mov_02</v>
      </c>
      <c r="B25" s="5" t="s">
        <v>28</v>
      </c>
      <c r="C25" s="5" t="s">
        <v>817</v>
      </c>
      <c r="D25" s="14" t="s">
        <v>48</v>
      </c>
      <c r="E25" s="5">
        <v>1</v>
      </c>
    </row>
    <row r="26" spans="1:7" x14ac:dyDescent="0.25">
      <c r="A26" s="5" t="str">
        <f>CONCATENATE(VLOOKUP(C26,Objetivos!$A$2:$B$19,2,FALSE),"_",D26)</f>
        <v>OCP_01</v>
      </c>
      <c r="B26" s="5" t="s">
        <v>20</v>
      </c>
      <c r="C26" s="5" t="s">
        <v>812</v>
      </c>
      <c r="D26" s="14" t="s">
        <v>47</v>
      </c>
      <c r="E26" s="5">
        <v>1</v>
      </c>
    </row>
    <row r="27" spans="1:7" x14ac:dyDescent="0.25">
      <c r="A27" s="5" t="str">
        <f>CONCATENATE(VLOOKUP(C27,Objetivos!$A$2:$B$19,2,FALSE),"_",D27)</f>
        <v>OCP_02</v>
      </c>
      <c r="B27" s="5" t="s">
        <v>38</v>
      </c>
      <c r="C27" s="5" t="s">
        <v>812</v>
      </c>
      <c r="D27" s="14" t="s">
        <v>48</v>
      </c>
      <c r="E27" s="5">
        <v>1</v>
      </c>
    </row>
    <row r="28" spans="1:7" x14ac:dyDescent="0.25">
      <c r="A28" s="5" t="str">
        <f>CONCATENATE(VLOOKUP(C28,Objetivos!$A$2:$B$19,2,FALSE),"_",D28)</f>
        <v>OCP_03</v>
      </c>
      <c r="B28" s="5" t="s">
        <v>902</v>
      </c>
      <c r="C28" s="5" t="s">
        <v>812</v>
      </c>
      <c r="D28" s="14" t="s">
        <v>49</v>
      </c>
      <c r="E28">
        <v>1</v>
      </c>
    </row>
    <row r="29" spans="1:7" x14ac:dyDescent="0.25">
      <c r="A29" s="5" t="str">
        <f>CONCATENATE(VLOOKUP(C29,Objetivos!$A$2:$B$19,2,FALSE),"_",D29)</f>
        <v>OCP_04</v>
      </c>
      <c r="B29" s="5" t="s">
        <v>953</v>
      </c>
      <c r="C29" s="5" t="s">
        <v>812</v>
      </c>
      <c r="D29" s="14" t="s">
        <v>50</v>
      </c>
      <c r="E29" s="5">
        <v>1</v>
      </c>
    </row>
    <row r="30" spans="1:7" x14ac:dyDescent="0.25">
      <c r="A30" s="5" t="str">
        <f>CONCATENATE(VLOOKUP(C30,Objetivos!$A$2:$B$19,2,FALSE),"_",D30)</f>
        <v>Rec_01</v>
      </c>
      <c r="B30" s="5" t="s">
        <v>23</v>
      </c>
      <c r="C30" s="5" t="s">
        <v>820</v>
      </c>
      <c r="D30" s="14" t="s">
        <v>47</v>
      </c>
      <c r="E30" s="5">
        <v>1</v>
      </c>
    </row>
    <row r="31" spans="1:7" x14ac:dyDescent="0.25">
      <c r="A31" s="5" t="str">
        <f>CONCATENATE(VLOOKUP(C31,Objetivos!$A$2:$B$19,2,FALSE),"_",D31)</f>
        <v>Rec_02</v>
      </c>
      <c r="B31" s="5" t="s">
        <v>61</v>
      </c>
      <c r="C31" s="5" t="s">
        <v>820</v>
      </c>
      <c r="D31" s="14" t="s">
        <v>48</v>
      </c>
      <c r="E31" s="5">
        <v>1</v>
      </c>
    </row>
    <row r="32" spans="1:7" x14ac:dyDescent="0.25">
      <c r="A32" s="5" t="str">
        <f>CONCATENATE(VLOOKUP(C32,Objetivos!$A$2:$B$19,2,FALSE),"_",D32)</f>
        <v>ReNo_01</v>
      </c>
      <c r="B32" s="5" t="s">
        <v>912</v>
      </c>
      <c r="C32" s="5" t="s">
        <v>6</v>
      </c>
      <c r="D32" s="14" t="s">
        <v>47</v>
      </c>
      <c r="E32">
        <v>1</v>
      </c>
    </row>
    <row r="33" spans="1:5" x14ac:dyDescent="0.25">
      <c r="A33" s="5" t="str">
        <f>CONCATENATE(VLOOKUP(C33,Objetivos!$A$2:$B$19,2,FALSE),"_",D33)</f>
        <v>Rep_01</v>
      </c>
      <c r="B33" s="5" t="s">
        <v>129</v>
      </c>
      <c r="C33" s="5" t="s">
        <v>120</v>
      </c>
      <c r="D33" s="14" t="s">
        <v>47</v>
      </c>
      <c r="E33" s="5">
        <v>1</v>
      </c>
    </row>
    <row r="34" spans="1:5" x14ac:dyDescent="0.25">
      <c r="A34" s="5" t="str">
        <f>CONCATENATE(VLOOKUP(C34,Objetivos!$A$2:$B$19,2,FALSE),"_",D34)</f>
        <v>Rep_02</v>
      </c>
      <c r="B34" s="5" t="s">
        <v>131</v>
      </c>
      <c r="C34" s="5" t="s">
        <v>120</v>
      </c>
      <c r="D34" s="14" t="s">
        <v>48</v>
      </c>
      <c r="E34" s="5">
        <v>1</v>
      </c>
    </row>
    <row r="35" spans="1:5" x14ac:dyDescent="0.25">
      <c r="A35" s="5" t="str">
        <f>CONCATENATE(VLOOKUP(C35,Objetivos!$A$2:$B$19,2,FALSE),"_",D35)</f>
        <v>Rep_03</v>
      </c>
      <c r="B35" s="5" t="s">
        <v>132</v>
      </c>
      <c r="C35" s="5" t="s">
        <v>120</v>
      </c>
      <c r="D35" s="14" t="s">
        <v>49</v>
      </c>
      <c r="E35" s="5">
        <v>1</v>
      </c>
    </row>
    <row r="36" spans="1:5" x14ac:dyDescent="0.25">
      <c r="A36" s="5" t="str">
        <f>CONCATENATE(VLOOKUP(C36,Objetivos!$A$2:$B$19,2,FALSE),"_",D36)</f>
        <v>Rep_04</v>
      </c>
      <c r="B36" s="5" t="s">
        <v>133</v>
      </c>
      <c r="C36" s="5" t="s">
        <v>120</v>
      </c>
      <c r="D36" s="14" t="s">
        <v>50</v>
      </c>
      <c r="E36">
        <v>1</v>
      </c>
    </row>
    <row r="37" spans="1:5" x14ac:dyDescent="0.25">
      <c r="A37" s="5" t="str">
        <f>CONCATENATE(VLOOKUP(C37,Objetivos!$A$2:$B$19,2,FALSE),"_",D37)</f>
        <v>Rep_05</v>
      </c>
      <c r="B37" s="5" t="s">
        <v>134</v>
      </c>
      <c r="C37" s="5" t="s">
        <v>120</v>
      </c>
      <c r="D37" s="14" t="s">
        <v>51</v>
      </c>
      <c r="E37">
        <v>1</v>
      </c>
    </row>
    <row r="38" spans="1:5" x14ac:dyDescent="0.25">
      <c r="A38" s="5" t="str">
        <f>CONCATENATE(VLOOKUP(C38,Objetivos!$A$2:$B$19,2,FALSE),"_",D38)</f>
        <v>Rep_06</v>
      </c>
      <c r="B38" s="5" t="s">
        <v>870</v>
      </c>
      <c r="C38" s="5" t="s">
        <v>120</v>
      </c>
      <c r="D38" s="14" t="s">
        <v>52</v>
      </c>
      <c r="E38">
        <v>1</v>
      </c>
    </row>
    <row r="39" spans="1:5" x14ac:dyDescent="0.25">
      <c r="A39" s="5" t="str">
        <f>CONCATENATE(VLOOKUP(C39,Objetivos!$A$2:$B$19,2,FALSE),"_",D39)</f>
        <v>Rep_07</v>
      </c>
      <c r="B39" s="5" t="s">
        <v>882</v>
      </c>
      <c r="C39" s="5" t="s">
        <v>120</v>
      </c>
      <c r="D39" s="14" t="s">
        <v>53</v>
      </c>
      <c r="E39">
        <v>1</v>
      </c>
    </row>
    <row r="40" spans="1:5" x14ac:dyDescent="0.25">
      <c r="A40" s="5" t="str">
        <f>CONCATENATE(VLOOKUP(C40,Objetivos!$A$2:$B$19,2,FALSE),"_",D40)</f>
        <v>UP_01</v>
      </c>
      <c r="B40" s="5" t="s">
        <v>851</v>
      </c>
      <c r="C40" s="5" t="s">
        <v>848</v>
      </c>
      <c r="D40" s="14" t="s">
        <v>47</v>
      </c>
      <c r="E40">
        <v>1</v>
      </c>
    </row>
    <row r="41" spans="1:5" x14ac:dyDescent="0.25">
      <c r="A41" s="5" t="str">
        <f>CONCATENATE(VLOOKUP(C41,Objetivos!$A$2:$B$19,2,FALSE),"_",D41)</f>
        <v>UP_02</v>
      </c>
      <c r="B41" s="5" t="s">
        <v>852</v>
      </c>
      <c r="C41" s="5" t="s">
        <v>848</v>
      </c>
      <c r="D41" s="14" t="s">
        <v>48</v>
      </c>
      <c r="E41">
        <v>1</v>
      </c>
    </row>
    <row r="42" spans="1:5" x14ac:dyDescent="0.25">
      <c r="A42" s="5" t="str">
        <f>CONCATENATE(VLOOKUP(C42,Objetivos!$A$2:$B$19,2,FALSE),"_",D42)</f>
        <v>Con_04</v>
      </c>
      <c r="B42" s="5" t="s">
        <v>1770</v>
      </c>
      <c r="C42" s="5" t="s">
        <v>686</v>
      </c>
      <c r="D42" s="14" t="s">
        <v>50</v>
      </c>
      <c r="E42">
        <v>1</v>
      </c>
    </row>
    <row r="43" spans="1:5" x14ac:dyDescent="0.25">
      <c r="C43" s="5"/>
    </row>
    <row r="44" spans="1:5" x14ac:dyDescent="0.25">
      <c r="C44" s="5"/>
    </row>
    <row r="45" spans="1:5" x14ac:dyDescent="0.25">
      <c r="C45" s="5"/>
    </row>
    <row r="46" spans="1:5" x14ac:dyDescent="0.25">
      <c r="C46" s="5"/>
    </row>
    <row r="47" spans="1:5" x14ac:dyDescent="0.25">
      <c r="C47" s="5"/>
    </row>
    <row r="48" spans="1:5" x14ac:dyDescent="0.25">
      <c r="C48" s="5"/>
    </row>
    <row r="49" spans="3:3" x14ac:dyDescent="0.25">
      <c r="C49" s="5"/>
    </row>
    <row r="50" spans="3:3" x14ac:dyDescent="0.25">
      <c r="C50" s="5"/>
    </row>
  </sheetData>
  <sortState ref="A3:E41">
    <sortCondition ref="A3:A41"/>
  </sortState>
  <mergeCells count="1">
    <mergeCell ref="A1:B1"/>
  </mergeCells>
  <conditionalFormatting sqref="E3:E15 A14:A39 C14:C21 E40">
    <cfRule type="expression" dxfId="214" priority="463">
      <formula>$C3=$G$7</formula>
    </cfRule>
    <cfRule type="expression" dxfId="213" priority="464">
      <formula>$C3=$G$5</formula>
    </cfRule>
    <cfRule type="expression" dxfId="212" priority="465">
      <formula>$C3=$G$6</formula>
    </cfRule>
    <cfRule type="expression" dxfId="211" priority="466">
      <formula>$C3=$G$4</formula>
    </cfRule>
    <cfRule type="expression" dxfId="210" priority="467">
      <formula>$C3=$G$3</formula>
    </cfRule>
    <cfRule type="expression" dxfId="209" priority="468">
      <formula>$C3=$G$2</formula>
    </cfRule>
  </conditionalFormatting>
  <conditionalFormatting sqref="A3:E40 A43:E50 B42:E42">
    <cfRule type="expression" dxfId="208" priority="57">
      <formula>$C3=$G$14</formula>
    </cfRule>
    <cfRule type="expression" dxfId="207" priority="208">
      <formula>$C3=$G$13</formula>
    </cfRule>
    <cfRule type="expression" dxfId="206" priority="266">
      <formula>$C3=$G$12</formula>
    </cfRule>
    <cfRule type="expression" dxfId="205" priority="267">
      <formula>$C3=$G$11</formula>
    </cfRule>
    <cfRule type="expression" dxfId="204" priority="304">
      <formula>$C3=$G$10</formula>
    </cfRule>
    <cfRule type="expression" dxfId="203" priority="305">
      <formula>$C3=$G$9</formula>
    </cfRule>
    <cfRule type="expression" dxfId="202" priority="378">
      <formula>$C3="Reporteo"</formula>
    </cfRule>
    <cfRule type="expression" dxfId="201" priority="475">
      <formula>$C3=$G$7</formula>
    </cfRule>
    <cfRule type="expression" dxfId="200" priority="476">
      <formula>$C3=$G$5</formula>
    </cfRule>
    <cfRule type="expression" dxfId="199" priority="477">
      <formula>$C3=$G$6</formula>
    </cfRule>
    <cfRule type="expression" dxfId="198" priority="478">
      <formula>$C3=$G$4</formula>
    </cfRule>
    <cfRule type="expression" dxfId="197" priority="479">
      <formula>$C3=$G$3</formula>
    </cfRule>
    <cfRule type="expression" dxfId="196" priority="480">
      <formula>$C3=$G$2</formula>
    </cfRule>
  </conditionalFormatting>
  <conditionalFormatting sqref="C42:C50 C28:C40 A28:A39">
    <cfRule type="expression" dxfId="195" priority="257">
      <formula>$C28=$G$10</formula>
    </cfRule>
    <cfRule type="expression" dxfId="194" priority="258">
      <formula>$C28=$G$9</formula>
    </cfRule>
    <cfRule type="expression" dxfId="193" priority="259">
      <formula>$C28="Reporteo"</formula>
    </cfRule>
    <cfRule type="expression" dxfId="192" priority="260">
      <formula>$C28=$G$7</formula>
    </cfRule>
    <cfRule type="expression" dxfId="191" priority="261">
      <formula>$C28=$G$5</formula>
    </cfRule>
    <cfRule type="expression" dxfId="190" priority="262">
      <formula>$C28=$G$6</formula>
    </cfRule>
    <cfRule type="expression" dxfId="189" priority="263">
      <formula>$C28=$G$4</formula>
    </cfRule>
    <cfRule type="expression" dxfId="188" priority="264">
      <formula>$C28=$G$3</formula>
    </cfRule>
    <cfRule type="expression" dxfId="187" priority="265">
      <formula>$C28=$G$2</formula>
    </cfRule>
  </conditionalFormatting>
  <conditionalFormatting sqref="B15">
    <cfRule type="expression" dxfId="186" priority="45">
      <formula>$C15=$G$7</formula>
    </cfRule>
    <cfRule type="expression" dxfId="185" priority="46">
      <formula>$C15=$G$5</formula>
    </cfRule>
    <cfRule type="expression" dxfId="184" priority="47">
      <formula>$C15=$G$6</formula>
    </cfRule>
    <cfRule type="expression" dxfId="183" priority="48">
      <formula>$C15=$G$4</formula>
    </cfRule>
    <cfRule type="expression" dxfId="182" priority="49">
      <formula>$C15=$G$3</formula>
    </cfRule>
    <cfRule type="expression" dxfId="181" priority="50">
      <formula>$C15=$G$2</formula>
    </cfRule>
  </conditionalFormatting>
  <conditionalFormatting sqref="A41">
    <cfRule type="expression" dxfId="180" priority="33">
      <formula>$C41=$G$7</formula>
    </cfRule>
    <cfRule type="expression" dxfId="179" priority="34">
      <formula>$C41=$G$5</formula>
    </cfRule>
    <cfRule type="expression" dxfId="178" priority="35">
      <formula>$C41=$G$6</formula>
    </cfRule>
    <cfRule type="expression" dxfId="177" priority="36">
      <formula>$C41=$G$4</formula>
    </cfRule>
    <cfRule type="expression" dxfId="176" priority="37">
      <formula>$C41=$G$3</formula>
    </cfRule>
    <cfRule type="expression" dxfId="175" priority="38">
      <formula>$C41=$G$2</formula>
    </cfRule>
  </conditionalFormatting>
  <conditionalFormatting sqref="A41:E41">
    <cfRule type="expression" dxfId="174" priority="26">
      <formula>$C41=$G$14</formula>
    </cfRule>
    <cfRule type="expression" dxfId="173" priority="27">
      <formula>$C41=$G$13</formula>
    </cfRule>
    <cfRule type="expression" dxfId="172" priority="28">
      <formula>$C41=$G$12</formula>
    </cfRule>
    <cfRule type="expression" dxfId="171" priority="29">
      <formula>$C41=$G$11</formula>
    </cfRule>
    <cfRule type="expression" dxfId="170" priority="30">
      <formula>$C41=$G$10</formula>
    </cfRule>
    <cfRule type="expression" dxfId="169" priority="31">
      <formula>$C41=$G$9</formula>
    </cfRule>
    <cfRule type="expression" dxfId="168" priority="32">
      <formula>$C41="Reporteo"</formula>
    </cfRule>
    <cfRule type="expression" dxfId="167" priority="39">
      <formula>$C41=$G$7</formula>
    </cfRule>
    <cfRule type="expression" dxfId="166" priority="40">
      <formula>$C41=$G$5</formula>
    </cfRule>
    <cfRule type="expression" dxfId="165" priority="41">
      <formula>$C41=$G$6</formula>
    </cfRule>
    <cfRule type="expression" dxfId="164" priority="42">
      <formula>$C41=$G$4</formula>
    </cfRule>
    <cfRule type="expression" dxfId="163" priority="43">
      <formula>$C41=$G$3</formula>
    </cfRule>
    <cfRule type="expression" dxfId="162" priority="44">
      <formula>$C41=$G$2</formula>
    </cfRule>
  </conditionalFormatting>
  <conditionalFormatting sqref="E42">
    <cfRule type="expression" dxfId="161" priority="20">
      <formula>$C42=$G$7</formula>
    </cfRule>
    <cfRule type="expression" dxfId="160" priority="21">
      <formula>$C42=$G$5</formula>
    </cfRule>
    <cfRule type="expression" dxfId="159" priority="22">
      <formula>$C42=$G$6</formula>
    </cfRule>
    <cfRule type="expression" dxfId="158" priority="23">
      <formula>$C42=$G$4</formula>
    </cfRule>
    <cfRule type="expression" dxfId="157" priority="24">
      <formula>$C42=$G$3</formula>
    </cfRule>
    <cfRule type="expression" dxfId="156" priority="25">
      <formula>$C42=$G$2</formula>
    </cfRule>
  </conditionalFormatting>
  <conditionalFormatting sqref="A42">
    <cfRule type="expression" dxfId="155" priority="8">
      <formula>$C42=$G$7</formula>
    </cfRule>
    <cfRule type="expression" dxfId="154" priority="9">
      <formula>$C42=$G$5</formula>
    </cfRule>
    <cfRule type="expression" dxfId="153" priority="10">
      <formula>$C42=$G$6</formula>
    </cfRule>
    <cfRule type="expression" dxfId="152" priority="11">
      <formula>$C42=$G$4</formula>
    </cfRule>
    <cfRule type="expression" dxfId="151" priority="12">
      <formula>$C42=$G$3</formula>
    </cfRule>
    <cfRule type="expression" dxfId="150" priority="13">
      <formula>$C42=$G$2</formula>
    </cfRule>
  </conditionalFormatting>
  <conditionalFormatting sqref="A42">
    <cfRule type="expression" dxfId="149" priority="1">
      <formula>$C42=$G$14</formula>
    </cfRule>
    <cfRule type="expression" dxfId="148" priority="2">
      <formula>$C42=$G$13</formula>
    </cfRule>
    <cfRule type="expression" dxfId="147" priority="3">
      <formula>$C42=$G$12</formula>
    </cfRule>
    <cfRule type="expression" dxfId="146" priority="4">
      <formula>$C42=$G$11</formula>
    </cfRule>
    <cfRule type="expression" dxfId="145" priority="5">
      <formula>$C42=$G$10</formula>
    </cfRule>
    <cfRule type="expression" dxfId="144" priority="6">
      <formula>$C42=$G$9</formula>
    </cfRule>
    <cfRule type="expression" dxfId="143" priority="7">
      <formula>$C42="Reporteo"</formula>
    </cfRule>
    <cfRule type="expression" dxfId="142" priority="14">
      <formula>$C42=$G$7</formula>
    </cfRule>
    <cfRule type="expression" dxfId="141" priority="15">
      <formula>$C42=$G$5</formula>
    </cfRule>
    <cfRule type="expression" dxfId="140" priority="16">
      <formula>$C42=$G$6</formula>
    </cfRule>
    <cfRule type="expression" dxfId="139" priority="17">
      <formula>$C42=$G$4</formula>
    </cfRule>
    <cfRule type="expression" dxfId="138" priority="18">
      <formula>$C42=$G$3</formula>
    </cfRule>
    <cfRule type="expression" dxfId="137" priority="19">
      <formula>$C42=$G$2</formula>
    </cfRule>
  </conditionalFormatting>
  <dataValidations count="1">
    <dataValidation type="list" allowBlank="1" showInputMessage="1" showErrorMessage="1" sqref="C3:C50">
      <formula1>Objetivos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Q198"/>
  <sheetViews>
    <sheetView topLeftCell="A105" zoomScale="85" zoomScaleNormal="85" workbookViewId="0">
      <selection activeCell="A114" sqref="A114"/>
    </sheetView>
  </sheetViews>
  <sheetFormatPr defaultRowHeight="15" x14ac:dyDescent="0.25"/>
  <cols>
    <col min="1" max="1" width="11.140625" style="5" bestFit="1" customWidth="1"/>
    <col min="2" max="2" width="64.7109375" style="5" customWidth="1"/>
    <col min="3" max="3" width="7.42578125" style="5" bestFit="1" customWidth="1"/>
    <col min="4" max="4" width="36.5703125" style="5" customWidth="1"/>
    <col min="5" max="5" width="4.28515625" style="5" bestFit="1" customWidth="1"/>
    <col min="6" max="6" width="25.140625" style="5" customWidth="1"/>
    <col min="7" max="10" width="17.42578125" style="5" customWidth="1"/>
    <col min="11" max="11" width="22" style="5" bestFit="1" customWidth="1"/>
    <col min="12" max="12" width="17.42578125" style="5" customWidth="1"/>
    <col min="14" max="14" width="47.85546875" bestFit="1" customWidth="1"/>
    <col min="15" max="15" width="38.85546875" bestFit="1" customWidth="1"/>
    <col min="16" max="16" width="9.140625" bestFit="1" customWidth="1"/>
    <col min="17" max="17" width="9.5703125" bestFit="1" customWidth="1"/>
  </cols>
  <sheetData>
    <row r="1" spans="1:17" x14ac:dyDescent="0.25">
      <c r="A1" s="151" t="s">
        <v>19</v>
      </c>
      <c r="B1" s="151"/>
      <c r="C1" s="151" t="s">
        <v>18</v>
      </c>
      <c r="D1" s="151"/>
      <c r="E1" s="37"/>
      <c r="F1" s="37"/>
      <c r="G1" s="37"/>
      <c r="H1" s="37"/>
      <c r="I1" s="37"/>
      <c r="J1" s="37"/>
      <c r="K1" s="37"/>
      <c r="L1" s="37"/>
    </row>
    <row r="2" spans="1:17" x14ac:dyDescent="0.25">
      <c r="A2" s="4" t="s">
        <v>15</v>
      </c>
      <c r="B2" s="4" t="s">
        <v>14</v>
      </c>
      <c r="C2" s="4" t="s">
        <v>15</v>
      </c>
      <c r="D2" s="4" t="s">
        <v>14</v>
      </c>
      <c r="E2" s="4" t="s">
        <v>37</v>
      </c>
      <c r="F2" s="4" t="s">
        <v>8</v>
      </c>
      <c r="G2" s="4" t="s">
        <v>90</v>
      </c>
      <c r="H2" s="4" t="s">
        <v>92</v>
      </c>
      <c r="I2" s="35" t="s">
        <v>95</v>
      </c>
      <c r="J2" s="36" t="s">
        <v>96</v>
      </c>
      <c r="K2" s="36" t="s">
        <v>701</v>
      </c>
      <c r="L2" s="36" t="s">
        <v>1422</v>
      </c>
      <c r="M2" s="2"/>
      <c r="N2" s="152" t="s">
        <v>36</v>
      </c>
      <c r="O2" s="152"/>
    </row>
    <row r="3" spans="1:17" ht="102.75" hidden="1" x14ac:dyDescent="0.25">
      <c r="A3" s="6" t="str">
        <f t="shared" ref="A3:A7" si="0">CONCATENATE(C3,"_",E3)</f>
        <v>Al_01_</v>
      </c>
      <c r="B3" s="9" t="s">
        <v>60</v>
      </c>
      <c r="C3" s="11" t="s">
        <v>62</v>
      </c>
      <c r="D3" s="6" t="e">
        <f>VLOOKUP(C3,RN_AN!$A$2:$B$100,2,FALSE)</f>
        <v>#N/A</v>
      </c>
      <c r="E3" s="10"/>
      <c r="F3" s="6" t="e">
        <f>VLOOKUP(D3,RN_AN!$B$3:$C$100,2,FALSE)</f>
        <v>#N/A</v>
      </c>
      <c r="G3" s="6" t="s">
        <v>91</v>
      </c>
      <c r="H3" s="7" t="s">
        <v>93</v>
      </c>
      <c r="I3" s="29">
        <v>42074</v>
      </c>
      <c r="J3" s="30">
        <v>0.52500000000000002</v>
      </c>
      <c r="K3" s="30"/>
      <c r="L3" s="30"/>
      <c r="N3" s="23" t="s">
        <v>35</v>
      </c>
      <c r="O3" s="23" t="s">
        <v>8</v>
      </c>
      <c r="P3" s="27">
        <f>SUM(P4:P53)</f>
        <v>121</v>
      </c>
      <c r="Q3" s="40">
        <f>SUM(Q4:Q21)</f>
        <v>0.47107438016528924</v>
      </c>
    </row>
    <row r="4" spans="1:17" ht="26.25" hidden="1" x14ac:dyDescent="0.25">
      <c r="A4" s="6" t="str">
        <f t="shared" si="0"/>
        <v>Al_01_</v>
      </c>
      <c r="B4" s="7" t="s">
        <v>89</v>
      </c>
      <c r="C4" s="6" t="s">
        <v>62</v>
      </c>
      <c r="D4" s="6" t="e">
        <f>VLOOKUP(C4,RN_AN!$A$2:$B$100,2,FALSE)</f>
        <v>#N/A</v>
      </c>
      <c r="E4" s="8"/>
      <c r="F4" s="6" t="e">
        <f>VLOOKUP(D4,RN_AN!$B$3:$C$100,2,FALSE)</f>
        <v>#N/A</v>
      </c>
      <c r="G4" s="6" t="s">
        <v>91</v>
      </c>
      <c r="H4" s="6" t="s">
        <v>93</v>
      </c>
      <c r="I4" s="29">
        <v>42074</v>
      </c>
      <c r="J4" s="30">
        <v>0.52569444444444446</v>
      </c>
      <c r="K4" s="30"/>
      <c r="L4" s="30"/>
      <c r="N4" s="6" t="str">
        <f t="array" ref="N4:O50">RN_AN!B3:C50</f>
        <v>Administración de Caja</v>
      </c>
      <c r="O4" s="7" t="str">
        <v>Cajas y Bancos</v>
      </c>
      <c r="P4" s="98">
        <f t="shared" ref="P4:P42" si="1">COUNTIFS($D$3:$D$193,N4,$G$3:$G$193,"Activo")</f>
        <v>5</v>
      </c>
      <c r="Q4" s="39">
        <f>P4/$P$3</f>
        <v>4.1322314049586778E-2</v>
      </c>
    </row>
    <row r="5" spans="1:17" ht="26.25" hidden="1" x14ac:dyDescent="0.25">
      <c r="A5" s="6" t="str">
        <f t="shared" si="0"/>
        <v>Al_01_05</v>
      </c>
      <c r="B5" s="7" t="s">
        <v>326</v>
      </c>
      <c r="C5" s="6" t="s">
        <v>62</v>
      </c>
      <c r="D5" s="6" t="e">
        <f>VLOOKUP(C5,RN_AN!$A$2:$B$100,2,FALSE)</f>
        <v>#N/A</v>
      </c>
      <c r="E5" s="8" t="s">
        <v>51</v>
      </c>
      <c r="F5" s="6" t="e">
        <f>VLOOKUP(D5,RN_AN!$B$3:$C$100,2,FALSE)</f>
        <v>#N/A</v>
      </c>
      <c r="G5" s="6" t="s">
        <v>91</v>
      </c>
      <c r="H5" s="6" t="s">
        <v>878</v>
      </c>
      <c r="I5" s="29">
        <v>42074</v>
      </c>
      <c r="J5" s="30">
        <v>0.54236111111111118</v>
      </c>
      <c r="K5" s="30" t="s">
        <v>704</v>
      </c>
      <c r="L5" s="30" t="str">
        <f>VLOOKUP(A5,UI!$L$3:$M$998,2,FALSE)</f>
        <v>UI_01_Al_01</v>
      </c>
      <c r="N5" s="6" t="str">
        <v>Administración de Bancos</v>
      </c>
      <c r="O5" s="7" t="str">
        <v>Cajas y Bancos</v>
      </c>
      <c r="P5" s="98">
        <f t="shared" si="1"/>
        <v>2</v>
      </c>
      <c r="Q5" s="39">
        <f t="shared" ref="Q5:Q23" si="2">P5/$P$3</f>
        <v>1.6528925619834711E-2</v>
      </c>
    </row>
    <row r="6" spans="1:17" ht="26.25" hidden="1" x14ac:dyDescent="0.25">
      <c r="A6" s="6" t="str">
        <f t="shared" si="0"/>
        <v>Al_03_</v>
      </c>
      <c r="B6" s="7" t="s">
        <v>45</v>
      </c>
      <c r="C6" s="6" t="s">
        <v>63</v>
      </c>
      <c r="D6" s="6" t="e">
        <f>VLOOKUP(C6,RN_AN!$A$2:$B$100,2,FALSE)</f>
        <v>#N/A</v>
      </c>
      <c r="E6" s="8"/>
      <c r="F6" s="6" t="e">
        <f>VLOOKUP(D6,RN_AN!$B$3:$C$100,2,FALSE)</f>
        <v>#N/A</v>
      </c>
      <c r="G6" s="6" t="s">
        <v>91</v>
      </c>
      <c r="H6" s="6" t="s">
        <v>113</v>
      </c>
      <c r="I6" s="29">
        <v>42065</v>
      </c>
      <c r="J6" s="30">
        <v>0.55555555555555558</v>
      </c>
      <c r="K6" s="30"/>
      <c r="L6" s="30"/>
      <c r="N6" s="6" t="str">
        <v>Administración de Clientes</v>
      </c>
      <c r="O6" s="7" t="str">
        <v>Clientes y Cuentas por Cobrar</v>
      </c>
      <c r="P6" s="98">
        <f t="shared" si="1"/>
        <v>2</v>
      </c>
      <c r="Q6" s="39">
        <f t="shared" si="2"/>
        <v>1.6528925619834711E-2</v>
      </c>
    </row>
    <row r="7" spans="1:17" ht="64.5" hidden="1" x14ac:dyDescent="0.25">
      <c r="A7" s="6" t="str">
        <f t="shared" si="0"/>
        <v>Al_03_</v>
      </c>
      <c r="B7" s="7" t="s">
        <v>87</v>
      </c>
      <c r="C7" s="6" t="s">
        <v>63</v>
      </c>
      <c r="D7" s="6" t="e">
        <f>VLOOKUP(C7,RN_AN!$A$2:$B$100,2,FALSE)</f>
        <v>#N/A</v>
      </c>
      <c r="E7" s="8"/>
      <c r="F7" s="6" t="e">
        <f>VLOOKUP(D7,RN_AN!$B$3:$C$100,2,FALSE)</f>
        <v>#N/A</v>
      </c>
      <c r="G7" s="6" t="s">
        <v>91</v>
      </c>
      <c r="H7" s="6" t="s">
        <v>113</v>
      </c>
      <c r="I7" s="29">
        <v>42065</v>
      </c>
      <c r="J7" s="30">
        <v>0.55555555555555558</v>
      </c>
      <c r="K7" s="30"/>
      <c r="L7" s="30"/>
      <c r="N7" s="6" t="str">
        <v>Facturación Electrónica para Clientes</v>
      </c>
      <c r="O7" s="7" t="str">
        <v>Clientes y Cuentas por Cobrar</v>
      </c>
      <c r="P7" s="98">
        <f t="shared" si="1"/>
        <v>1</v>
      </c>
      <c r="Q7" s="39">
        <f t="shared" si="2"/>
        <v>8.2644628099173556E-3</v>
      </c>
    </row>
    <row r="8" spans="1:17" ht="64.5" x14ac:dyDescent="0.25">
      <c r="A8" s="6" t="str">
        <f t="shared" ref="A8:A39" si="3">CONCATENATE(C8,"_",E8)</f>
        <v>Caj_01_5</v>
      </c>
      <c r="B8" s="7" t="s">
        <v>1636</v>
      </c>
      <c r="C8" s="6" t="s">
        <v>929</v>
      </c>
      <c r="D8" s="6" t="str">
        <f>VLOOKUP(C8,RN_AN!$A$2:$B$100,2,FALSE)</f>
        <v>Administración de Caja</v>
      </c>
      <c r="E8" s="8">
        <f t="shared" ref="E8:E13" si="4">VLOOKUP(D8,$N$4:$P$40,3,FALSE)</f>
        <v>5</v>
      </c>
      <c r="F8" s="6" t="str">
        <f>VLOOKUP(D8,RN_AN!$B$3:$C$100,2,FALSE)</f>
        <v>Cajas y Bancos</v>
      </c>
      <c r="G8" s="6" t="s">
        <v>94</v>
      </c>
      <c r="H8" s="6"/>
      <c r="I8" s="29">
        <v>42087</v>
      </c>
      <c r="J8" s="30">
        <v>0.55763888888888891</v>
      </c>
      <c r="K8" s="6"/>
      <c r="L8" s="32" t="s">
        <v>1646</v>
      </c>
      <c r="N8" s="6" t="str">
        <v>Manejo de Notas de Venta - Tickets</v>
      </c>
      <c r="O8" s="7" t="str">
        <v>Clientes y Cuentas por Cobrar</v>
      </c>
      <c r="P8" s="98">
        <f t="shared" si="1"/>
        <v>6</v>
      </c>
      <c r="Q8" s="39">
        <f t="shared" si="2"/>
        <v>4.9586776859504134E-2</v>
      </c>
    </row>
    <row r="9" spans="1:17" ht="39" x14ac:dyDescent="0.25">
      <c r="A9" s="6" t="str">
        <f t="shared" si="3"/>
        <v>Caj_01_5</v>
      </c>
      <c r="B9" s="7" t="s">
        <v>940</v>
      </c>
      <c r="C9" s="6" t="s">
        <v>929</v>
      </c>
      <c r="D9" s="6" t="str">
        <f>VLOOKUP(C9,RN_AN!$A$2:$B$100,2,FALSE)</f>
        <v>Administración de Caja</v>
      </c>
      <c r="E9" s="8">
        <f t="shared" si="4"/>
        <v>5</v>
      </c>
      <c r="F9" s="6" t="str">
        <f>VLOOKUP(D9,RN_AN!$B$3:$C$100,2,FALSE)</f>
        <v>Cajas y Bancos</v>
      </c>
      <c r="G9" s="6" t="s">
        <v>94</v>
      </c>
      <c r="H9" s="6"/>
      <c r="I9" s="29">
        <v>42074</v>
      </c>
      <c r="J9" s="30">
        <v>0.83611111111111114</v>
      </c>
      <c r="K9" s="6"/>
      <c r="L9" s="32" t="s">
        <v>1656</v>
      </c>
      <c r="N9" s="6" t="str">
        <v>Recepción de pagos de clientes</v>
      </c>
      <c r="O9" s="7" t="str">
        <v>Clientes y Cuentas por Cobrar</v>
      </c>
      <c r="P9" s="98">
        <f t="shared" si="1"/>
        <v>1</v>
      </c>
      <c r="Q9" s="39">
        <f t="shared" si="2"/>
        <v>8.2644628099173556E-3</v>
      </c>
    </row>
    <row r="10" spans="1:17" ht="115.5" x14ac:dyDescent="0.25">
      <c r="A10" s="6" t="str">
        <f t="shared" si="3"/>
        <v>Caj_01_5</v>
      </c>
      <c r="B10" s="7" t="s">
        <v>941</v>
      </c>
      <c r="C10" s="6" t="s">
        <v>929</v>
      </c>
      <c r="D10" s="6" t="str">
        <f>VLOOKUP(C10,RN_AN!$A$2:$B$100,2,FALSE)</f>
        <v>Administración de Caja</v>
      </c>
      <c r="E10" s="8">
        <f t="shared" si="4"/>
        <v>5</v>
      </c>
      <c r="F10" s="6" t="str">
        <f>VLOOKUP(D10,RN_AN!$B$3:$C$100,2,FALSE)</f>
        <v>Cajas y Bancos</v>
      </c>
      <c r="G10" s="6" t="s">
        <v>94</v>
      </c>
      <c r="H10" s="6"/>
      <c r="I10" s="29">
        <v>42074</v>
      </c>
      <c r="J10" s="30">
        <v>0.83611111111111114</v>
      </c>
      <c r="K10" s="6"/>
      <c r="L10" s="32" t="s">
        <v>1177</v>
      </c>
      <c r="N10" s="6" t="str">
        <v>Toma de Orden</v>
      </c>
      <c r="O10" s="7" t="str">
        <v>Tomas de órdenes y Comandas</v>
      </c>
      <c r="P10" s="98">
        <f t="shared" si="1"/>
        <v>12</v>
      </c>
      <c r="Q10" s="39">
        <f t="shared" si="2"/>
        <v>9.9173553719008267E-2</v>
      </c>
    </row>
    <row r="11" spans="1:17" ht="26.25" x14ac:dyDescent="0.25">
      <c r="A11" s="6" t="str">
        <f t="shared" si="3"/>
        <v>Caj_01_5</v>
      </c>
      <c r="B11" s="7" t="s">
        <v>931</v>
      </c>
      <c r="C11" s="6" t="s">
        <v>929</v>
      </c>
      <c r="D11" s="6" t="str">
        <f>VLOOKUP(C11,RN_AN!$A$2:$B$100,2,FALSE)</f>
        <v>Administración de Caja</v>
      </c>
      <c r="E11" s="8">
        <f t="shared" si="4"/>
        <v>5</v>
      </c>
      <c r="F11" s="6" t="str">
        <f>VLOOKUP(D11,RN_AN!$B$3:$C$100,2,FALSE)</f>
        <v>Cajas y Bancos</v>
      </c>
      <c r="G11" s="6" t="s">
        <v>94</v>
      </c>
      <c r="H11" s="6"/>
      <c r="I11" s="29">
        <v>42074</v>
      </c>
      <c r="J11" s="30">
        <v>0.83750000000000002</v>
      </c>
      <c r="K11" s="6"/>
      <c r="L11" s="32" t="s">
        <v>1656</v>
      </c>
      <c r="N11" s="6" t="str">
        <v>Administración de Cuentas contables</v>
      </c>
      <c r="O11" s="7" t="str">
        <v>Contabilidad</v>
      </c>
      <c r="P11" s="98">
        <f t="shared" si="1"/>
        <v>1</v>
      </c>
      <c r="Q11" s="39">
        <f t="shared" si="2"/>
        <v>8.2644628099173556E-3</v>
      </c>
    </row>
    <row r="12" spans="1:17" ht="26.25" x14ac:dyDescent="0.25">
      <c r="A12" s="6" t="str">
        <f t="shared" si="3"/>
        <v>Caj_01_5</v>
      </c>
      <c r="B12" s="7" t="s">
        <v>934</v>
      </c>
      <c r="C12" s="6" t="s">
        <v>929</v>
      </c>
      <c r="D12" s="6" t="str">
        <f>VLOOKUP(C12,RN_AN!$A$2:$B$100,2,FALSE)</f>
        <v>Administración de Caja</v>
      </c>
      <c r="E12" s="8">
        <f t="shared" si="4"/>
        <v>5</v>
      </c>
      <c r="F12" s="6" t="str">
        <f>VLOOKUP(D12,RN_AN!$B$3:$C$100,2,FALSE)</f>
        <v>Cajas y Bancos</v>
      </c>
      <c r="G12" s="6" t="s">
        <v>94</v>
      </c>
      <c r="H12" s="6"/>
      <c r="I12" s="29">
        <v>42074</v>
      </c>
      <c r="J12" s="30">
        <v>0.83750000000000002</v>
      </c>
      <c r="K12" s="6"/>
      <c r="L12" s="32" t="s">
        <v>1177</v>
      </c>
      <c r="N12" s="6" t="str">
        <v>Reportes Contables</v>
      </c>
      <c r="O12" s="7" t="str">
        <v>Contabilidad</v>
      </c>
      <c r="P12" s="98">
        <f t="shared" si="1"/>
        <v>5</v>
      </c>
      <c r="Q12" s="39">
        <f t="shared" si="2"/>
        <v>4.1322314049586778E-2</v>
      </c>
    </row>
    <row r="13" spans="1:17" ht="102.75" x14ac:dyDescent="0.25">
      <c r="A13" s="6" t="str">
        <f t="shared" si="3"/>
        <v>Caj_02_2</v>
      </c>
      <c r="B13" s="7" t="s">
        <v>930</v>
      </c>
      <c r="C13" s="6" t="s">
        <v>928</v>
      </c>
      <c r="D13" s="6" t="str">
        <f>VLOOKUP(C13,RN_AN!$A$2:$B$100,2,FALSE)</f>
        <v>Administración de Bancos</v>
      </c>
      <c r="E13" s="8">
        <f t="shared" si="4"/>
        <v>2</v>
      </c>
      <c r="F13" s="6" t="str">
        <f>VLOOKUP(D13,RN_AN!$B$3:$C$100,2,FALSE)</f>
        <v>Cajas y Bancos</v>
      </c>
      <c r="G13" s="6" t="s">
        <v>94</v>
      </c>
      <c r="H13" s="6"/>
      <c r="I13" s="29">
        <v>42074</v>
      </c>
      <c r="J13" s="30">
        <v>0.66249999999999998</v>
      </c>
      <c r="K13" s="6"/>
      <c r="L13" s="32" t="s">
        <v>1642</v>
      </c>
      <c r="N13" s="6" t="str">
        <v>Aplicación de asientos contables</v>
      </c>
      <c r="O13" s="7" t="str">
        <v>Contabilidad</v>
      </c>
      <c r="P13" s="98">
        <f t="shared" si="1"/>
        <v>3</v>
      </c>
      <c r="Q13" s="39">
        <f t="shared" si="2"/>
        <v>2.4793388429752067E-2</v>
      </c>
    </row>
    <row r="14" spans="1:17" ht="39" x14ac:dyDescent="0.25">
      <c r="A14" s="6" t="str">
        <f t="shared" si="3"/>
        <v>Cli_01_01</v>
      </c>
      <c r="B14" s="7" t="s">
        <v>847</v>
      </c>
      <c r="C14" s="6" t="s">
        <v>693</v>
      </c>
      <c r="D14" s="6" t="str">
        <f>VLOOKUP(C14,RN_AN!$A$2:$B$100,2,FALSE)</f>
        <v>Administración de Clientes</v>
      </c>
      <c r="E14" s="8" t="s">
        <v>47</v>
      </c>
      <c r="F14" s="6" t="str">
        <f>VLOOKUP(D14,RN_AN!$B$3:$C$100,2,FALSE)</f>
        <v>Clientes y Cuentas por Cobrar</v>
      </c>
      <c r="G14" s="6" t="s">
        <v>94</v>
      </c>
      <c r="H14" s="6"/>
      <c r="I14" s="29">
        <v>42074</v>
      </c>
      <c r="J14" s="30">
        <v>0.61458333333333337</v>
      </c>
      <c r="K14" s="30" t="s">
        <v>702</v>
      </c>
      <c r="L14" s="32"/>
      <c r="N14" s="6" t="str">
        <v>Elaboración de órdenes de pago</v>
      </c>
      <c r="O14" s="7" t="str">
        <v>Cuentas por Pagar</v>
      </c>
      <c r="P14" s="98">
        <f t="shared" si="1"/>
        <v>1</v>
      </c>
      <c r="Q14" s="39">
        <f t="shared" si="2"/>
        <v>8.2644628099173556E-3</v>
      </c>
    </row>
    <row r="15" spans="1:17" ht="26.25" x14ac:dyDescent="0.25">
      <c r="A15" s="6" t="str">
        <f t="shared" si="3"/>
        <v>Cli_01_02</v>
      </c>
      <c r="B15" s="7" t="s">
        <v>833</v>
      </c>
      <c r="C15" s="6" t="s">
        <v>693</v>
      </c>
      <c r="D15" s="6" t="str">
        <f>VLOOKUP(C15,RN_AN!$A$2:$B$100,2,FALSE)</f>
        <v>Administración de Clientes</v>
      </c>
      <c r="E15" s="8" t="s">
        <v>48</v>
      </c>
      <c r="F15" s="6" t="str">
        <f>VLOOKUP(D15,RN_AN!$B$3:$C$100,2,FALSE)</f>
        <v>Clientes y Cuentas por Cobrar</v>
      </c>
      <c r="G15" s="6" t="s">
        <v>94</v>
      </c>
      <c r="H15" s="6"/>
      <c r="I15" s="29">
        <v>42074</v>
      </c>
      <c r="J15" s="30">
        <v>0.61527777777777781</v>
      </c>
      <c r="K15" s="6"/>
      <c r="L15" s="32"/>
      <c r="N15" s="6" t="str">
        <v>Recepción de Facturas</v>
      </c>
      <c r="O15" s="6" t="str">
        <v>Cuentas por Pagar</v>
      </c>
      <c r="P15" s="98">
        <f t="shared" si="1"/>
        <v>1</v>
      </c>
      <c r="Q15" s="39">
        <f t="shared" si="2"/>
        <v>8.2644628099173556E-3</v>
      </c>
    </row>
    <row r="16" spans="1:17" ht="26.25" x14ac:dyDescent="0.25">
      <c r="A16" s="6" t="str">
        <f t="shared" si="3"/>
        <v>Cli_02_01</v>
      </c>
      <c r="B16" s="7" t="s">
        <v>834</v>
      </c>
      <c r="C16" s="6" t="s">
        <v>835</v>
      </c>
      <c r="D16" s="6" t="str">
        <f>VLOOKUP(C16,RN_AN!$A$2:$B$100,2,FALSE)</f>
        <v>Facturación Electrónica para Clientes</v>
      </c>
      <c r="E16" s="8" t="s">
        <v>47</v>
      </c>
      <c r="F16" s="6" t="str">
        <f>VLOOKUP(D16,RN_AN!$B$3:$C$100,2,FALSE)</f>
        <v>Clientes y Cuentas por Cobrar</v>
      </c>
      <c r="G16" s="6" t="s">
        <v>94</v>
      </c>
      <c r="H16" s="6"/>
      <c r="I16" s="29">
        <v>42074</v>
      </c>
      <c r="J16" s="30">
        <v>0.61527777777777781</v>
      </c>
      <c r="K16" s="6"/>
      <c r="L16" s="32" t="s">
        <v>1645</v>
      </c>
      <c r="N16" s="6" t="str">
        <v>Revisión de Facturas</v>
      </c>
      <c r="O16" s="6" t="str">
        <v>Cuentas por Pagar</v>
      </c>
      <c r="P16" s="98">
        <f t="shared" si="1"/>
        <v>1</v>
      </c>
      <c r="Q16" s="39">
        <f t="shared" si="2"/>
        <v>8.2644628099173556E-3</v>
      </c>
    </row>
    <row r="17" spans="1:17" ht="39" x14ac:dyDescent="0.25">
      <c r="A17" s="6" t="str">
        <f t="shared" si="3"/>
        <v>Cli_03_01</v>
      </c>
      <c r="B17" s="7" t="s">
        <v>889</v>
      </c>
      <c r="C17" s="6" t="s">
        <v>830</v>
      </c>
      <c r="D17" s="6" t="str">
        <f>VLOOKUP(C17,RN_AN!$A$2:$B$100,2,FALSE)</f>
        <v>Manejo de Notas de Venta - Tickets</v>
      </c>
      <c r="E17" s="8" t="s">
        <v>47</v>
      </c>
      <c r="F17" s="6" t="str">
        <f>VLOOKUP(D17,RN_AN!$B$3:$C$100,2,FALSE)</f>
        <v>Clientes y Cuentas por Cobrar</v>
      </c>
      <c r="G17" s="6" t="s">
        <v>94</v>
      </c>
      <c r="H17" s="6" t="s">
        <v>679</v>
      </c>
      <c r="I17" s="29">
        <v>42074</v>
      </c>
      <c r="J17" s="30">
        <v>0.61527777777777781</v>
      </c>
      <c r="K17" s="30" t="s">
        <v>704</v>
      </c>
      <c r="L17" s="32" t="s">
        <v>1647</v>
      </c>
      <c r="N17" s="6" t="str">
        <v>Recepción de Notas de Crédito</v>
      </c>
      <c r="O17" s="6" t="str">
        <v>Cuentas por Pagar</v>
      </c>
      <c r="P17" s="98">
        <f t="shared" si="1"/>
        <v>1</v>
      </c>
      <c r="Q17" s="39">
        <f t="shared" si="2"/>
        <v>8.2644628099173556E-3</v>
      </c>
    </row>
    <row r="18" spans="1:17" ht="64.5" x14ac:dyDescent="0.25">
      <c r="A18" s="6" t="str">
        <f t="shared" si="3"/>
        <v>Cli_03_02</v>
      </c>
      <c r="B18" s="7" t="s">
        <v>924</v>
      </c>
      <c r="C18" s="6" t="s">
        <v>830</v>
      </c>
      <c r="D18" s="6" t="str">
        <f>VLOOKUP(C18,RN_AN!$A$2:$B$100,2,FALSE)</f>
        <v>Manejo de Notas de Venta - Tickets</v>
      </c>
      <c r="E18" s="8" t="s">
        <v>48</v>
      </c>
      <c r="F18" s="6" t="str">
        <f>VLOOKUP(D18,RN_AN!$B$3:$C$100,2,FALSE)</f>
        <v>Clientes y Cuentas por Cobrar</v>
      </c>
      <c r="G18" s="6" t="s">
        <v>94</v>
      </c>
      <c r="H18" s="6"/>
      <c r="I18" s="29">
        <v>42074</v>
      </c>
      <c r="J18" s="30">
        <v>0.62638888888888888</v>
      </c>
      <c r="K18" s="30" t="s">
        <v>703</v>
      </c>
      <c r="L18" s="32" t="s">
        <v>1647</v>
      </c>
      <c r="N18" s="24" t="str">
        <v>Administración de Inventarios</v>
      </c>
      <c r="O18" s="24" t="str">
        <v>Inventarios</v>
      </c>
      <c r="P18" s="98">
        <f t="shared" si="1"/>
        <v>2</v>
      </c>
      <c r="Q18" s="39">
        <f t="shared" si="2"/>
        <v>1.6528925619834711E-2</v>
      </c>
    </row>
    <row r="19" spans="1:17" ht="26.25" x14ac:dyDescent="0.25">
      <c r="A19" s="6" t="str">
        <f t="shared" si="3"/>
        <v>Cli_03_03</v>
      </c>
      <c r="B19" s="7" t="s">
        <v>831</v>
      </c>
      <c r="C19" s="6" t="s">
        <v>830</v>
      </c>
      <c r="D19" s="6" t="str">
        <f>VLOOKUP(C19,RN_AN!$A$2:$B$100,2,FALSE)</f>
        <v>Manejo de Notas de Venta - Tickets</v>
      </c>
      <c r="E19" s="8" t="s">
        <v>49</v>
      </c>
      <c r="F19" s="6" t="str">
        <f>VLOOKUP(D19,RN_AN!$B$3:$C$100,2,FALSE)</f>
        <v>Clientes y Cuentas por Cobrar</v>
      </c>
      <c r="G19" s="6" t="s">
        <v>94</v>
      </c>
      <c r="H19" s="6"/>
      <c r="I19" s="29">
        <v>42074</v>
      </c>
      <c r="J19" s="30">
        <v>0.61527777777777781</v>
      </c>
      <c r="K19" s="6"/>
      <c r="L19" s="32" t="s">
        <v>1647</v>
      </c>
      <c r="N19" s="24" t="str">
        <v>Elaboración de Inventarios físicos</v>
      </c>
      <c r="O19" s="24" t="str">
        <v>Inventarios</v>
      </c>
      <c r="P19" s="98">
        <f t="shared" si="1"/>
        <v>1</v>
      </c>
      <c r="Q19" s="39">
        <f t="shared" si="2"/>
        <v>8.2644628099173556E-3</v>
      </c>
    </row>
    <row r="20" spans="1:17" ht="39" x14ac:dyDescent="0.25">
      <c r="A20" s="6" t="str">
        <f t="shared" si="3"/>
        <v>Cli_03_04</v>
      </c>
      <c r="B20" s="7" t="s">
        <v>1648</v>
      </c>
      <c r="C20" s="6" t="s">
        <v>830</v>
      </c>
      <c r="D20" s="6" t="str">
        <f>VLOOKUP(C20,RN_AN!$A$2:$B$100,2,FALSE)</f>
        <v>Manejo de Notas de Venta - Tickets</v>
      </c>
      <c r="E20" s="8" t="s">
        <v>50</v>
      </c>
      <c r="F20" s="6" t="str">
        <f>VLOOKUP(D20,RN_AN!$B$3:$C$100,2,FALSE)</f>
        <v>Clientes y Cuentas por Cobrar</v>
      </c>
      <c r="G20" s="6" t="s">
        <v>94</v>
      </c>
      <c r="H20" s="6"/>
      <c r="I20" s="29">
        <v>42087</v>
      </c>
      <c r="J20" s="30">
        <v>0.5625</v>
      </c>
      <c r="K20" s="6"/>
      <c r="L20" s="32" t="s">
        <v>1647</v>
      </c>
      <c r="N20" s="24" t="str">
        <v>Consulta de Niveles de Inventario</v>
      </c>
      <c r="O20" s="24" t="str">
        <v>Inventarios</v>
      </c>
      <c r="P20" s="98">
        <f t="shared" si="1"/>
        <v>2</v>
      </c>
      <c r="Q20" s="39">
        <f t="shared" si="2"/>
        <v>1.6528925619834711E-2</v>
      </c>
    </row>
    <row r="21" spans="1:17" ht="39" x14ac:dyDescent="0.25">
      <c r="A21" s="6" t="str">
        <f t="shared" si="3"/>
        <v>Cli_03_05</v>
      </c>
      <c r="B21" s="7" t="s">
        <v>832</v>
      </c>
      <c r="C21" s="6" t="s">
        <v>830</v>
      </c>
      <c r="D21" s="6" t="str">
        <f>VLOOKUP(C21,RN_AN!$A$2:$B$100,2,FALSE)</f>
        <v>Manejo de Notas de Venta - Tickets</v>
      </c>
      <c r="E21" s="8" t="s">
        <v>51</v>
      </c>
      <c r="F21" s="6" t="str">
        <f>VLOOKUP(D21,RN_AN!$B$3:$C$100,2,FALSE)</f>
        <v>Clientes y Cuentas por Cobrar</v>
      </c>
      <c r="G21" s="6" t="s">
        <v>94</v>
      </c>
      <c r="H21" s="6"/>
      <c r="I21" s="29">
        <v>42074</v>
      </c>
      <c r="J21" s="30">
        <v>0.61527777777777781</v>
      </c>
      <c r="K21" s="6"/>
      <c r="L21" s="32" t="s">
        <v>1693</v>
      </c>
      <c r="N21" s="24" t="str">
        <v>Administración de Platillos y Bebidas</v>
      </c>
      <c r="O21" s="24" t="str">
        <v>Administración de Catálogos y Registros Maestros</v>
      </c>
      <c r="P21" s="98">
        <f t="shared" si="1"/>
        <v>10</v>
      </c>
      <c r="Q21" s="39">
        <f t="shared" si="2"/>
        <v>8.2644628099173556E-2</v>
      </c>
    </row>
    <row r="22" spans="1:17" ht="51.75" x14ac:dyDescent="0.25">
      <c r="A22" s="6" t="str">
        <f t="shared" si="3"/>
        <v>Cli_03_07</v>
      </c>
      <c r="B22" s="7" t="s">
        <v>698</v>
      </c>
      <c r="C22" s="6" t="s">
        <v>830</v>
      </c>
      <c r="D22" s="6" t="str">
        <f>VLOOKUP(C22,RN_AN!$A$2:$B$100,2,FALSE)</f>
        <v>Manejo de Notas de Venta - Tickets</v>
      </c>
      <c r="E22" s="8" t="s">
        <v>53</v>
      </c>
      <c r="F22" s="6" t="str">
        <f>VLOOKUP(D22,RN_AN!$B$3:$C$100,2,FALSE)</f>
        <v>Clientes y Cuentas por Cobrar</v>
      </c>
      <c r="G22" s="6" t="s">
        <v>94</v>
      </c>
      <c r="H22" s="6"/>
      <c r="I22" s="29">
        <v>42075</v>
      </c>
      <c r="J22" s="30">
        <v>0.5625</v>
      </c>
      <c r="K22" s="30" t="s">
        <v>706</v>
      </c>
      <c r="L22" s="32" t="s">
        <v>1647</v>
      </c>
      <c r="N22" s="24" t="str">
        <v>Catálogos asociados con registros maestros</v>
      </c>
      <c r="O22" s="24" t="str">
        <v>Administración de Catálogos y Registros Maestros</v>
      </c>
      <c r="P22" s="98">
        <f t="shared" si="1"/>
        <v>10</v>
      </c>
      <c r="Q22" s="39">
        <f t="shared" si="2"/>
        <v>8.2644628099173556E-2</v>
      </c>
    </row>
    <row r="23" spans="1:17" ht="90" x14ac:dyDescent="0.25">
      <c r="A23" s="6" t="str">
        <f t="shared" si="3"/>
        <v>Cli_04_01</v>
      </c>
      <c r="B23" s="7" t="s">
        <v>845</v>
      </c>
      <c r="C23" s="6" t="s">
        <v>846</v>
      </c>
      <c r="D23" s="6" t="str">
        <f>VLOOKUP(C23,RN_AN!$A$2:$B$100,2,FALSE)</f>
        <v>Recepción de pagos de clientes</v>
      </c>
      <c r="E23" s="8" t="s">
        <v>47</v>
      </c>
      <c r="F23" s="6" t="str">
        <f>VLOOKUP(D23,RN_AN!$B$3:$C$100,2,FALSE)</f>
        <v>Clientes y Cuentas por Cobrar</v>
      </c>
      <c r="G23" s="6" t="s">
        <v>94</v>
      </c>
      <c r="H23" s="6"/>
      <c r="I23" s="29">
        <v>42074</v>
      </c>
      <c r="J23" s="30">
        <v>0.61527777777777781</v>
      </c>
      <c r="K23" s="6"/>
      <c r="L23" s="32" t="s">
        <v>1646</v>
      </c>
      <c r="N23" s="24" t="str">
        <v>Administración de Mercancías</v>
      </c>
      <c r="O23" s="24" t="str">
        <v>Administración de Catálogos y Registros Maestros</v>
      </c>
      <c r="P23" s="98">
        <f t="shared" si="1"/>
        <v>8</v>
      </c>
      <c r="Q23" s="39">
        <f t="shared" si="2"/>
        <v>6.6115702479338845E-2</v>
      </c>
    </row>
    <row r="24" spans="1:17" ht="26.25" hidden="1" x14ac:dyDescent="0.25">
      <c r="A24" s="6" t="str">
        <f t="shared" si="3"/>
        <v>Co_01_</v>
      </c>
      <c r="B24" s="7" t="s">
        <v>44</v>
      </c>
      <c r="C24" s="6" t="s">
        <v>64</v>
      </c>
      <c r="D24" s="6" t="e">
        <f>VLOOKUP(C24,RN_AN!$A$2:$B$100,2,FALSE)</f>
        <v>#N/A</v>
      </c>
      <c r="E24" s="8"/>
      <c r="F24" s="6" t="e">
        <f>VLOOKUP(D24,RN_AN!$B$3:$C$100,2,FALSE)</f>
        <v>#N/A</v>
      </c>
      <c r="G24" s="6" t="s">
        <v>91</v>
      </c>
      <c r="H24" s="6" t="s">
        <v>103</v>
      </c>
      <c r="I24" s="29">
        <v>42065</v>
      </c>
      <c r="J24" s="30">
        <v>0.55555555555555558</v>
      </c>
      <c r="K24" s="30"/>
      <c r="L24" s="30"/>
      <c r="N24" s="24" t="str">
        <v>Catálogos asociados a  documentos</v>
      </c>
      <c r="O24" s="24" t="str">
        <v>Administración de Catálogos y Registros Maestros</v>
      </c>
      <c r="P24" s="98">
        <f t="shared" si="1"/>
        <v>5</v>
      </c>
      <c r="Q24" s="39">
        <f t="shared" ref="Q24:Q40" si="5">P24/$P$3</f>
        <v>4.1322314049586778E-2</v>
      </c>
    </row>
    <row r="25" spans="1:17" ht="64.5" hidden="1" x14ac:dyDescent="0.25">
      <c r="A25" s="6" t="str">
        <f t="shared" si="3"/>
        <v>Co_01_</v>
      </c>
      <c r="B25" s="7" t="s">
        <v>81</v>
      </c>
      <c r="C25" s="6" t="s">
        <v>64</v>
      </c>
      <c r="D25" s="6" t="e">
        <f>VLOOKUP(C25,RN_AN!$A$2:$B$100,2,FALSE)</f>
        <v>#N/A</v>
      </c>
      <c r="E25" s="6"/>
      <c r="F25" s="6" t="e">
        <f>VLOOKUP(D25,RN_AN!$B$3:$C$100,2,FALSE)</f>
        <v>#N/A</v>
      </c>
      <c r="G25" s="6" t="s">
        <v>91</v>
      </c>
      <c r="H25" s="6" t="s">
        <v>112</v>
      </c>
      <c r="I25" s="29">
        <v>42065</v>
      </c>
      <c r="J25" s="30">
        <v>0.55555555555555558</v>
      </c>
      <c r="K25" s="30"/>
      <c r="L25" s="30"/>
      <c r="N25" s="24" t="str">
        <v>Entrada/Salida de Mercancías</v>
      </c>
      <c r="O25" s="24" t="str">
        <v>Movimientos del almacén</v>
      </c>
      <c r="P25" s="98">
        <f t="shared" si="1"/>
        <v>2</v>
      </c>
      <c r="Q25" s="39">
        <f t="shared" si="5"/>
        <v>1.6528925619834711E-2</v>
      </c>
    </row>
    <row r="26" spans="1:17" ht="39" hidden="1" x14ac:dyDescent="0.25">
      <c r="A26" s="6" t="str">
        <f t="shared" si="3"/>
        <v>Co_01_</v>
      </c>
      <c r="B26" s="7" t="s">
        <v>105</v>
      </c>
      <c r="C26" s="6" t="s">
        <v>64</v>
      </c>
      <c r="D26" s="6" t="e">
        <f>VLOOKUP(C26,RN_AN!$A$2:$B$100,2,FALSE)</f>
        <v>#N/A</v>
      </c>
      <c r="E26" s="8"/>
      <c r="F26" s="6" t="e">
        <f>VLOOKUP(D26,RN_AN!$B$3:$C$100,2,FALSE)</f>
        <v>#N/A</v>
      </c>
      <c r="G26" s="6" t="s">
        <v>91</v>
      </c>
      <c r="H26" s="6" t="s">
        <v>190</v>
      </c>
      <c r="I26" s="29">
        <v>42072</v>
      </c>
      <c r="J26" s="30">
        <v>0.53333333333333333</v>
      </c>
      <c r="K26" s="30"/>
      <c r="L26" s="30"/>
      <c r="N26" s="24" t="str">
        <v>Traspaso de Mercancías</v>
      </c>
      <c r="O26" s="24" t="str">
        <v>Movimientos del almacén</v>
      </c>
      <c r="P26" s="98">
        <f t="shared" si="1"/>
        <v>2</v>
      </c>
      <c r="Q26" s="39">
        <f t="shared" si="5"/>
        <v>1.6528925619834711E-2</v>
      </c>
    </row>
    <row r="27" spans="1:17" ht="26.25" hidden="1" x14ac:dyDescent="0.25">
      <c r="A27" s="6" t="str">
        <f t="shared" si="3"/>
        <v>Co_01_04</v>
      </c>
      <c r="B27" s="7" t="s">
        <v>43</v>
      </c>
      <c r="C27" s="6" t="s">
        <v>64</v>
      </c>
      <c r="D27" s="6" t="e">
        <f>VLOOKUP(C27,RN_AN!$A$2:$B$100,2,FALSE)</f>
        <v>#N/A</v>
      </c>
      <c r="E27" s="8" t="s">
        <v>50</v>
      </c>
      <c r="F27" s="6" t="e">
        <f>VLOOKUP(D27,RN_AN!$B$3:$C$100,2,FALSE)</f>
        <v>#N/A</v>
      </c>
      <c r="G27" s="6" t="s">
        <v>91</v>
      </c>
      <c r="H27" s="6" t="s">
        <v>109</v>
      </c>
      <c r="I27" s="29">
        <v>42074</v>
      </c>
      <c r="J27" s="30">
        <v>0.5444444444444444</v>
      </c>
      <c r="K27" s="30" t="s">
        <v>702</v>
      </c>
      <c r="L27" s="30" t="e">
        <f>VLOOKUP(A27,UI!$L$3:$M$998,2,FALSE)</f>
        <v>#N/A</v>
      </c>
      <c r="N27" s="24" t="str">
        <v>Administración de Proveedores</v>
      </c>
      <c r="O27" s="24" t="str">
        <v>Órdenes de Compra y Proveedores</v>
      </c>
      <c r="P27" s="98">
        <f t="shared" si="1"/>
        <v>2</v>
      </c>
      <c r="Q27" s="39">
        <f t="shared" si="5"/>
        <v>1.6528925619834711E-2</v>
      </c>
    </row>
    <row r="28" spans="1:17" hidden="1" x14ac:dyDescent="0.25">
      <c r="A28" s="6" t="str">
        <f t="shared" si="3"/>
        <v>Co_02_</v>
      </c>
      <c r="B28" s="7" t="s">
        <v>57</v>
      </c>
      <c r="C28" s="6" t="s">
        <v>65</v>
      </c>
      <c r="D28" s="6" t="e">
        <f>VLOOKUP(C28,RN_AN!$A$2:$B$100,2,FALSE)</f>
        <v>#N/A</v>
      </c>
      <c r="E28" s="8"/>
      <c r="F28" s="6" t="e">
        <f>VLOOKUP(D28,RN_AN!$B$3:$C$100,2,FALSE)</f>
        <v>#N/A</v>
      </c>
      <c r="G28" s="6" t="s">
        <v>91</v>
      </c>
      <c r="H28" s="6" t="s">
        <v>106</v>
      </c>
      <c r="I28" s="29">
        <v>42065</v>
      </c>
      <c r="J28" s="30">
        <v>0.55555555555555558</v>
      </c>
      <c r="K28" s="30"/>
      <c r="L28" s="30"/>
      <c r="N28" s="24" t="str">
        <v>Elaboración de órdenes de Compra</v>
      </c>
      <c r="O28" s="24" t="str">
        <v>Órdenes de Compra y Proveedores</v>
      </c>
      <c r="P28" s="98">
        <f t="shared" si="1"/>
        <v>1</v>
      </c>
      <c r="Q28" s="39">
        <f t="shared" si="5"/>
        <v>8.2644628099173556E-3</v>
      </c>
    </row>
    <row r="29" spans="1:17" ht="90" hidden="1" x14ac:dyDescent="0.25">
      <c r="A29" s="6" t="str">
        <f t="shared" si="3"/>
        <v>Co_03_</v>
      </c>
      <c r="B29" s="7" t="s">
        <v>98</v>
      </c>
      <c r="C29" s="6" t="s">
        <v>78</v>
      </c>
      <c r="D29" s="6" t="e">
        <f>VLOOKUP(C29,RN_AN!$A$2:$B$100,2,FALSE)</f>
        <v>#N/A</v>
      </c>
      <c r="E29" s="8"/>
      <c r="F29" s="6" t="e">
        <f>VLOOKUP(D29,RN_AN!$B$3:$C$100,2,FALSE)</f>
        <v>#N/A</v>
      </c>
      <c r="G29" s="6" t="s">
        <v>91</v>
      </c>
      <c r="H29" s="6" t="s">
        <v>231</v>
      </c>
      <c r="I29" s="29">
        <v>42072</v>
      </c>
      <c r="J29" s="30">
        <v>0.53333333333333333</v>
      </c>
      <c r="K29" s="30"/>
      <c r="L29" s="30"/>
      <c r="N29" s="24" t="str">
        <v>Administración de Relación Proveedor - Mercancía</v>
      </c>
      <c r="O29" s="24" t="str">
        <v>Órdenes de Compra y Proveedores</v>
      </c>
      <c r="P29" s="98">
        <f t="shared" si="1"/>
        <v>2</v>
      </c>
      <c r="Q29" s="39">
        <f t="shared" si="5"/>
        <v>1.6528925619834711E-2</v>
      </c>
    </row>
    <row r="30" spans="1:17" ht="26.25" hidden="1" x14ac:dyDescent="0.25">
      <c r="A30" s="6" t="str">
        <f t="shared" si="3"/>
        <v>Co_03_03</v>
      </c>
      <c r="B30" s="7" t="s">
        <v>97</v>
      </c>
      <c r="C30" s="6" t="s">
        <v>78</v>
      </c>
      <c r="D30" s="6" t="e">
        <f>VLOOKUP(C30,RN_AN!$A$2:$B$100,2,FALSE)</f>
        <v>#N/A</v>
      </c>
      <c r="E30" s="8" t="s">
        <v>49</v>
      </c>
      <c r="F30" s="6" t="e">
        <f>VLOOKUP(D30,RN_AN!$B$3:$C$100,2,FALSE)</f>
        <v>#N/A</v>
      </c>
      <c r="G30" s="6" t="s">
        <v>91</v>
      </c>
      <c r="H30" s="6" t="s">
        <v>893</v>
      </c>
      <c r="I30" s="29">
        <v>42074</v>
      </c>
      <c r="J30" s="30">
        <v>0.55833333333333335</v>
      </c>
      <c r="K30" s="30" t="s">
        <v>706</v>
      </c>
      <c r="L30" s="30" t="e">
        <f>VLOOKUP(A30,UI!$L$3:$M$998,2,FALSE)</f>
        <v>#N/A</v>
      </c>
      <c r="N30" s="24" t="str">
        <v>Elaboración de Planes de Compra</v>
      </c>
      <c r="O30" s="24" t="str">
        <v>Órdenes de Compra y Proveedores</v>
      </c>
      <c r="P30" s="98">
        <f t="shared" si="1"/>
        <v>5</v>
      </c>
      <c r="Q30" s="39">
        <f t="shared" si="5"/>
        <v>4.1322314049586778E-2</v>
      </c>
    </row>
    <row r="31" spans="1:17" ht="26.25" hidden="1" x14ac:dyDescent="0.25">
      <c r="A31" s="6" t="str">
        <f t="shared" si="3"/>
        <v>Co_03_06</v>
      </c>
      <c r="B31" s="7" t="s">
        <v>119</v>
      </c>
      <c r="C31" s="6" t="s">
        <v>78</v>
      </c>
      <c r="D31" s="6" t="e">
        <f>VLOOKUP(C31,RN_AN!$A$2:$B$100,2,FALSE)</f>
        <v>#N/A</v>
      </c>
      <c r="E31" s="8" t="s">
        <v>52</v>
      </c>
      <c r="F31" s="6" t="e">
        <f>VLOOKUP(D31,RN_AN!$B$3:$C$100,2,FALSE)</f>
        <v>#N/A</v>
      </c>
      <c r="G31" s="6" t="s">
        <v>91</v>
      </c>
      <c r="H31" s="6" t="s">
        <v>118</v>
      </c>
      <c r="I31" s="29">
        <v>42074</v>
      </c>
      <c r="J31" s="30">
        <v>0.55902777777777779</v>
      </c>
      <c r="K31" s="30" t="s">
        <v>703</v>
      </c>
      <c r="L31" s="30" t="e">
        <f>VLOOKUP(A31,UI!$L$3:$M$998,2,FALSE)</f>
        <v>#N/A</v>
      </c>
      <c r="N31" s="24" t="str">
        <v>Administración de Ordenes de Recepción</v>
      </c>
      <c r="O31" s="24" t="str">
        <v>Recepción de Mercancías al Almacén</v>
      </c>
      <c r="P31" s="98">
        <f t="shared" si="1"/>
        <v>4</v>
      </c>
      <c r="Q31" s="39">
        <f t="shared" si="5"/>
        <v>3.3057851239669422E-2</v>
      </c>
    </row>
    <row r="32" spans="1:17" ht="90" x14ac:dyDescent="0.25">
      <c r="A32" s="6" t="str">
        <f t="shared" si="3"/>
        <v>Com_01_01</v>
      </c>
      <c r="B32" s="7" t="s">
        <v>114</v>
      </c>
      <c r="C32" s="6" t="s">
        <v>883</v>
      </c>
      <c r="D32" s="6" t="str">
        <f>VLOOKUP(C32,RN_AN!$A$2:$B$100,2,FALSE)</f>
        <v>Toma de Orden</v>
      </c>
      <c r="E32" s="8" t="s">
        <v>47</v>
      </c>
      <c r="F32" s="6" t="str">
        <f>VLOOKUP(D32,RN_AN!$B$3:$C$100,2,FALSE)</f>
        <v>Tomas de órdenes y Comandas</v>
      </c>
      <c r="G32" s="6" t="s">
        <v>94</v>
      </c>
      <c r="H32" s="6"/>
      <c r="I32" s="29">
        <v>42074</v>
      </c>
      <c r="J32" s="30">
        <v>0.5493055555555556</v>
      </c>
      <c r="K32" s="30" t="s">
        <v>704</v>
      </c>
      <c r="L32" s="32" t="s">
        <v>1424</v>
      </c>
      <c r="N32" s="24" t="str">
        <v>Checklist de entrada</v>
      </c>
      <c r="O32" s="24" t="str">
        <v>Recepción de Mercancías al Almacén</v>
      </c>
      <c r="P32" s="98">
        <f t="shared" si="1"/>
        <v>1</v>
      </c>
      <c r="Q32" s="39">
        <f t="shared" si="5"/>
        <v>8.2644628099173556E-3</v>
      </c>
    </row>
    <row r="33" spans="1:17" ht="51.75" x14ac:dyDescent="0.25">
      <c r="A33" s="6" t="str">
        <f t="shared" si="3"/>
        <v>Com_01_02</v>
      </c>
      <c r="B33" s="7" t="s">
        <v>86</v>
      </c>
      <c r="C33" s="6" t="s">
        <v>883</v>
      </c>
      <c r="D33" s="6" t="str">
        <f>VLOOKUP(C33,RN_AN!$A$2:$B$100,2,FALSE)</f>
        <v>Toma de Orden</v>
      </c>
      <c r="E33" s="8" t="s">
        <v>48</v>
      </c>
      <c r="F33" s="6" t="str">
        <f>VLOOKUP(D33,RN_AN!$B$3:$C$100,2,FALSE)</f>
        <v>Tomas de órdenes y Comandas</v>
      </c>
      <c r="G33" s="6" t="s">
        <v>94</v>
      </c>
      <c r="H33" s="6" t="s">
        <v>107</v>
      </c>
      <c r="I33" s="29">
        <v>42074</v>
      </c>
      <c r="J33" s="30">
        <v>0.5493055555555556</v>
      </c>
      <c r="K33" s="30" t="s">
        <v>704</v>
      </c>
      <c r="L33" s="32" t="s">
        <v>1432</v>
      </c>
      <c r="N33" s="24" t="str">
        <v>Reglas de Negocio para Documentos</v>
      </c>
      <c r="O33" s="24" t="str">
        <v>Reglas de Negocio</v>
      </c>
      <c r="P33" s="98">
        <f t="shared" si="1"/>
        <v>5</v>
      </c>
      <c r="Q33" s="39">
        <f t="shared" si="5"/>
        <v>4.1322314049586778E-2</v>
      </c>
    </row>
    <row r="34" spans="1:17" ht="77.25" x14ac:dyDescent="0.25">
      <c r="A34" s="6" t="str">
        <f t="shared" si="3"/>
        <v>Com_01_03</v>
      </c>
      <c r="B34" s="7" t="s">
        <v>709</v>
      </c>
      <c r="C34" s="6" t="s">
        <v>883</v>
      </c>
      <c r="D34" s="6" t="str">
        <f>VLOOKUP(C34,RN_AN!$A$2:$B$100,2,FALSE)</f>
        <v>Toma de Orden</v>
      </c>
      <c r="E34" s="8" t="s">
        <v>49</v>
      </c>
      <c r="F34" s="6" t="str">
        <f>VLOOKUP(D34,RN_AN!$B$3:$C$100,2,FALSE)</f>
        <v>Tomas de órdenes y Comandas</v>
      </c>
      <c r="G34" s="6" t="s">
        <v>94</v>
      </c>
      <c r="H34" s="6"/>
      <c r="I34" s="29">
        <v>42074</v>
      </c>
      <c r="J34" s="30">
        <v>0.61527777777777781</v>
      </c>
      <c r="K34" s="30" t="s">
        <v>704</v>
      </c>
      <c r="L34" s="32" t="s">
        <v>1426</v>
      </c>
      <c r="N34" s="24" t="str">
        <v>Análisis de Costos</v>
      </c>
      <c r="O34" s="24" t="str">
        <v>Reporteo</v>
      </c>
      <c r="P34" s="98">
        <f t="shared" si="1"/>
        <v>4</v>
      </c>
      <c r="Q34" s="39">
        <f t="shared" si="5"/>
        <v>3.3057851239669422E-2</v>
      </c>
    </row>
    <row r="35" spans="1:17" ht="26.25" x14ac:dyDescent="0.25">
      <c r="A35" s="6" t="str">
        <f t="shared" si="3"/>
        <v>Com_01_04</v>
      </c>
      <c r="B35" s="7" t="s">
        <v>885</v>
      </c>
      <c r="C35" s="6" t="s">
        <v>883</v>
      </c>
      <c r="D35" s="6" t="str">
        <f>VLOOKUP(C35,RN_AN!$A$2:$B$100,2,FALSE)</f>
        <v>Toma de Orden</v>
      </c>
      <c r="E35" s="8" t="s">
        <v>50</v>
      </c>
      <c r="F35" s="6" t="str">
        <f>VLOOKUP(D35,RN_AN!$B$3:$C$100,2,FALSE)</f>
        <v>Tomas de órdenes y Comandas</v>
      </c>
      <c r="G35" s="6" t="s">
        <v>94</v>
      </c>
      <c r="H35" s="6"/>
      <c r="I35" s="29">
        <v>42074</v>
      </c>
      <c r="J35" s="30">
        <v>0.54999999999999993</v>
      </c>
      <c r="K35" s="30" t="s">
        <v>704</v>
      </c>
      <c r="L35" s="32" t="s">
        <v>1426</v>
      </c>
      <c r="N35" s="24" t="str">
        <v>Reportes de Inventarios</v>
      </c>
      <c r="O35" s="24" t="str">
        <v>Reporteo</v>
      </c>
      <c r="P35" s="98">
        <f t="shared" si="1"/>
        <v>2</v>
      </c>
      <c r="Q35" s="39">
        <f t="shared" si="5"/>
        <v>1.6528925619834711E-2</v>
      </c>
    </row>
    <row r="36" spans="1:17" ht="115.5" x14ac:dyDescent="0.25">
      <c r="A36" s="6" t="str">
        <f t="shared" si="3"/>
        <v>Com_01_05</v>
      </c>
      <c r="B36" s="7" t="s">
        <v>886</v>
      </c>
      <c r="C36" s="6" t="s">
        <v>883</v>
      </c>
      <c r="D36" s="6" t="str">
        <f>VLOOKUP(C36,RN_AN!$A$2:$B$100,2,FALSE)</f>
        <v>Toma de Orden</v>
      </c>
      <c r="E36" s="8" t="s">
        <v>51</v>
      </c>
      <c r="F36" s="6" t="str">
        <f>VLOOKUP(D36,RN_AN!$B$3:$C$100,2,FALSE)</f>
        <v>Tomas de órdenes y Comandas</v>
      </c>
      <c r="G36" s="6" t="s">
        <v>94</v>
      </c>
      <c r="H36" s="6" t="s">
        <v>678</v>
      </c>
      <c r="I36" s="29">
        <v>42075</v>
      </c>
      <c r="J36" s="30">
        <v>0.56736111111111109</v>
      </c>
      <c r="K36" s="30" t="s">
        <v>704</v>
      </c>
      <c r="L36" s="32" t="s">
        <v>1647</v>
      </c>
      <c r="N36" s="24" t="str">
        <v>Reportes de Proveedores</v>
      </c>
      <c r="O36" s="24" t="str">
        <v>Reporteo</v>
      </c>
      <c r="P36" s="98">
        <f t="shared" si="1"/>
        <v>2</v>
      </c>
      <c r="Q36" s="39">
        <f t="shared" si="5"/>
        <v>1.6528925619834711E-2</v>
      </c>
    </row>
    <row r="37" spans="1:17" ht="64.5" x14ac:dyDescent="0.25">
      <c r="A37" s="6" t="str">
        <f t="shared" si="3"/>
        <v>Com_01_06</v>
      </c>
      <c r="B37" s="7" t="s">
        <v>923</v>
      </c>
      <c r="C37" s="6" t="s">
        <v>883</v>
      </c>
      <c r="D37" s="6" t="str">
        <f>VLOOKUP(C37,RN_AN!$A$2:$B$100,2,FALSE)</f>
        <v>Toma de Orden</v>
      </c>
      <c r="E37" s="8" t="s">
        <v>52</v>
      </c>
      <c r="F37" s="6" t="str">
        <f>VLOOKUP(D37,RN_AN!$B$3:$C$100,2,FALSE)</f>
        <v>Tomas de órdenes y Comandas</v>
      </c>
      <c r="G37" s="6" t="s">
        <v>94</v>
      </c>
      <c r="H37" s="6" t="s">
        <v>890</v>
      </c>
      <c r="I37" s="29">
        <v>42075</v>
      </c>
      <c r="J37" s="30">
        <v>0.56736111111111109</v>
      </c>
      <c r="K37" s="30" t="s">
        <v>705</v>
      </c>
      <c r="L37" s="32"/>
      <c r="N37" s="24" t="str">
        <v>Reportes de órdenes de compra</v>
      </c>
      <c r="O37" s="24" t="str">
        <v>Reporteo</v>
      </c>
      <c r="P37" s="98">
        <f t="shared" si="1"/>
        <v>1</v>
      </c>
      <c r="Q37" s="39">
        <f t="shared" si="5"/>
        <v>8.2644628099173556E-3</v>
      </c>
    </row>
    <row r="38" spans="1:17" ht="26.25" x14ac:dyDescent="0.25">
      <c r="A38" s="6" t="str">
        <f t="shared" si="3"/>
        <v>Com_01_07</v>
      </c>
      <c r="B38" s="7" t="s">
        <v>697</v>
      </c>
      <c r="C38" s="6" t="s">
        <v>883</v>
      </c>
      <c r="D38" s="6" t="str">
        <f>VLOOKUP(C38,RN_AN!$A$2:$B$100,2,FALSE)</f>
        <v>Toma de Orden</v>
      </c>
      <c r="E38" s="8" t="s">
        <v>53</v>
      </c>
      <c r="F38" s="6" t="str">
        <f>VLOOKUP(D38,RN_AN!$B$3:$C$100,2,FALSE)</f>
        <v>Tomas de órdenes y Comandas</v>
      </c>
      <c r="G38" s="6" t="s">
        <v>94</v>
      </c>
      <c r="H38" s="6"/>
      <c r="I38" s="29">
        <v>42075</v>
      </c>
      <c r="J38" s="30">
        <v>0.56736111111111109</v>
      </c>
      <c r="K38" s="30" t="s">
        <v>703</v>
      </c>
      <c r="L38" s="32" t="s">
        <v>1424</v>
      </c>
      <c r="N38" s="24" t="str">
        <v>Reportes de entradas/salidas de mercancía</v>
      </c>
      <c r="O38" s="24" t="str">
        <v>Reporteo</v>
      </c>
      <c r="P38" s="98">
        <f t="shared" si="1"/>
        <v>1</v>
      </c>
      <c r="Q38" s="39">
        <f t="shared" si="5"/>
        <v>8.2644628099173556E-3</v>
      </c>
    </row>
    <row r="39" spans="1:17" ht="26.25" x14ac:dyDescent="0.25">
      <c r="A39" s="6" t="str">
        <f t="shared" si="3"/>
        <v>Com_01_08</v>
      </c>
      <c r="B39" s="7" t="s">
        <v>699</v>
      </c>
      <c r="C39" s="6" t="s">
        <v>883</v>
      </c>
      <c r="D39" s="6" t="str">
        <f>VLOOKUP(C39,RN_AN!$A$2:$B$100,2,FALSE)</f>
        <v>Toma de Orden</v>
      </c>
      <c r="E39" s="8" t="s">
        <v>54</v>
      </c>
      <c r="F39" s="6" t="str">
        <f>VLOOKUP(D39,RN_AN!$B$3:$C$100,2,FALSE)</f>
        <v>Tomas de órdenes y Comandas</v>
      </c>
      <c r="G39" s="6" t="s">
        <v>94</v>
      </c>
      <c r="H39" s="6"/>
      <c r="I39" s="29">
        <v>42074</v>
      </c>
      <c r="J39" s="30">
        <v>0.61527777777777781</v>
      </c>
      <c r="K39" s="30" t="s">
        <v>706</v>
      </c>
      <c r="L39" s="32" t="s">
        <v>1424</v>
      </c>
      <c r="N39" s="24" t="str">
        <v>Reportes de Ventas</v>
      </c>
      <c r="O39" s="24" t="str">
        <v>Reporteo</v>
      </c>
      <c r="P39" s="98">
        <f t="shared" si="1"/>
        <v>3</v>
      </c>
      <c r="Q39" s="39">
        <f t="shared" si="5"/>
        <v>2.4793388429752067E-2</v>
      </c>
    </row>
    <row r="40" spans="1:17" ht="43.5" customHeight="1" x14ac:dyDescent="0.25">
      <c r="A40" s="6" t="str">
        <f t="shared" ref="A40:A71" si="6">CONCATENATE(C40,"_",E40)</f>
        <v>Com_01_09</v>
      </c>
      <c r="B40" s="7" t="s">
        <v>836</v>
      </c>
      <c r="C40" s="6" t="s">
        <v>883</v>
      </c>
      <c r="D40" s="6" t="str">
        <f>VLOOKUP(C40,RN_AN!$A$2:$B$100,2,FALSE)</f>
        <v>Toma de Orden</v>
      </c>
      <c r="E40" s="8" t="s">
        <v>55</v>
      </c>
      <c r="F40" s="6" t="str">
        <f>VLOOKUP(D40,RN_AN!$B$3:$C$100,2,FALSE)</f>
        <v>Tomas de órdenes y Comandas</v>
      </c>
      <c r="G40" s="6" t="s">
        <v>94</v>
      </c>
      <c r="H40" s="6"/>
      <c r="I40" s="29">
        <v>42074</v>
      </c>
      <c r="J40" s="30">
        <v>0.61527777777777781</v>
      </c>
      <c r="K40" s="6"/>
      <c r="L40" s="32" t="s">
        <v>1426</v>
      </c>
      <c r="N40" s="24" t="str">
        <v>Reportes de Documentos del Sistema</v>
      </c>
      <c r="O40" s="24" t="str">
        <v>Reporteo</v>
      </c>
      <c r="P40" s="98">
        <f t="shared" si="1"/>
        <v>2</v>
      </c>
      <c r="Q40" s="39">
        <f t="shared" si="5"/>
        <v>1.6528925619834711E-2</v>
      </c>
    </row>
    <row r="41" spans="1:17" ht="39" x14ac:dyDescent="0.25">
      <c r="A41" s="6" t="str">
        <f t="shared" si="6"/>
        <v>Com_01_10</v>
      </c>
      <c r="B41" s="7" t="s">
        <v>840</v>
      </c>
      <c r="C41" s="6" t="s">
        <v>883</v>
      </c>
      <c r="D41" s="6" t="str">
        <f>VLOOKUP(C41,RN_AN!$A$2:$B$100,2,FALSE)</f>
        <v>Toma de Orden</v>
      </c>
      <c r="E41" s="8">
        <v>10</v>
      </c>
      <c r="F41" s="6" t="str">
        <f>VLOOKUP(D41,RN_AN!$B$3:$C$100,2,FALSE)</f>
        <v>Tomas de órdenes y Comandas</v>
      </c>
      <c r="G41" s="6" t="s">
        <v>94</v>
      </c>
      <c r="H41" s="6"/>
      <c r="I41" s="29">
        <v>42074</v>
      </c>
      <c r="J41" s="30">
        <v>0.61597222222222225</v>
      </c>
      <c r="K41" s="6"/>
      <c r="L41" s="32" t="s">
        <v>1424</v>
      </c>
      <c r="N41" s="24" t="str">
        <v>Administración de Usuarios</v>
      </c>
      <c r="O41" s="24" t="str">
        <v>Administración de Usuarios, Permisos y Niveles Organizacionales</v>
      </c>
      <c r="P41" s="98">
        <f t="shared" si="1"/>
        <v>1</v>
      </c>
      <c r="Q41" s="39">
        <f>P41/$P$3</f>
        <v>8.2644628099173556E-3</v>
      </c>
    </row>
    <row r="42" spans="1:17" ht="39" x14ac:dyDescent="0.25">
      <c r="A42" s="6" t="str">
        <f t="shared" si="6"/>
        <v>Com_01_11</v>
      </c>
      <c r="B42" s="7" t="s">
        <v>841</v>
      </c>
      <c r="C42" s="6" t="s">
        <v>883</v>
      </c>
      <c r="D42" s="6" t="str">
        <f>VLOOKUP(C42,RN_AN!$A$2:$B$100,2,FALSE)</f>
        <v>Toma de Orden</v>
      </c>
      <c r="E42" s="8">
        <v>11</v>
      </c>
      <c r="F42" s="6" t="str">
        <f>VLOOKUP(D42,RN_AN!$B$3:$C$100,2,FALSE)</f>
        <v>Tomas de órdenes y Comandas</v>
      </c>
      <c r="G42" s="6" t="s">
        <v>94</v>
      </c>
      <c r="H42" s="6"/>
      <c r="I42" s="29">
        <v>42074</v>
      </c>
      <c r="J42" s="30">
        <v>0.61597222222222225</v>
      </c>
      <c r="K42" s="6"/>
      <c r="L42" s="32" t="s">
        <v>1426</v>
      </c>
      <c r="N42" s="24" t="str">
        <v>Administración de Niveles Organizacionales</v>
      </c>
      <c r="O42" s="24" t="str">
        <v>Administración de Usuarios, Permisos y Niveles Organizacionales</v>
      </c>
      <c r="P42" s="98">
        <f t="shared" si="1"/>
        <v>1</v>
      </c>
      <c r="Q42" s="39">
        <f>P42/$P$3</f>
        <v>8.2644628099173556E-3</v>
      </c>
    </row>
    <row r="43" spans="1:17" ht="39" x14ac:dyDescent="0.25">
      <c r="A43" s="6" t="str">
        <f t="shared" si="6"/>
        <v>Com_01_12</v>
      </c>
      <c r="B43" s="7" t="s">
        <v>892</v>
      </c>
      <c r="C43" s="6" t="s">
        <v>883</v>
      </c>
      <c r="D43" s="6" t="str">
        <f>VLOOKUP(C43,RN_AN!$A$2:$B$100,2,FALSE)</f>
        <v>Toma de Orden</v>
      </c>
      <c r="E43" s="8">
        <v>12</v>
      </c>
      <c r="F43" s="6" t="str">
        <f>VLOOKUP(D43,RN_AN!$B$3:$C$100,2,FALSE)</f>
        <v>Tomas de órdenes y Comandas</v>
      </c>
      <c r="G43" s="6" t="s">
        <v>94</v>
      </c>
      <c r="H43" s="6" t="s">
        <v>680</v>
      </c>
      <c r="I43" s="29">
        <v>42074</v>
      </c>
      <c r="J43" s="30">
        <v>0.61597222222222225</v>
      </c>
      <c r="K43" s="30" t="s">
        <v>705</v>
      </c>
      <c r="L43" s="32" t="s">
        <v>1424</v>
      </c>
      <c r="N43" s="24" t="str">
        <v>Cierre Contable</v>
      </c>
      <c r="O43" s="24" t="str">
        <v>Contabilidad</v>
      </c>
    </row>
    <row r="44" spans="1:17" ht="39" x14ac:dyDescent="0.25">
      <c r="A44" s="6" t="str">
        <f t="shared" si="6"/>
        <v>Con_01_01</v>
      </c>
      <c r="B44" s="7" t="s">
        <v>695</v>
      </c>
      <c r="C44" s="6" t="s">
        <v>694</v>
      </c>
      <c r="D44" s="6" t="str">
        <f>VLOOKUP(C44,RN_AN!$A$2:$B$100,2,FALSE)</f>
        <v>Administración de Cuentas contables</v>
      </c>
      <c r="E44" s="8" t="s">
        <v>47</v>
      </c>
      <c r="F44" s="6" t="str">
        <f>VLOOKUP(D44,RN_AN!$B$3:$C$100,2,FALSE)</f>
        <v>Contabilidad</v>
      </c>
      <c r="G44" s="6" t="s">
        <v>94</v>
      </c>
      <c r="H44" s="6"/>
      <c r="I44" s="29">
        <v>42074</v>
      </c>
      <c r="J44" s="30">
        <v>0.61597222222222225</v>
      </c>
      <c r="K44" s="30" t="s">
        <v>702</v>
      </c>
      <c r="L44" s="32"/>
      <c r="N44" s="24">
        <v>0</v>
      </c>
      <c r="O44" s="24">
        <v>0</v>
      </c>
    </row>
    <row r="45" spans="1:17" ht="26.25" x14ac:dyDescent="0.25">
      <c r="A45" s="6" t="str">
        <f t="shared" si="6"/>
        <v>Con_02_01</v>
      </c>
      <c r="B45" s="7" t="s">
        <v>863</v>
      </c>
      <c r="C45" s="6" t="s">
        <v>865</v>
      </c>
      <c r="D45" s="6" t="str">
        <f>VLOOKUP(C45,RN_AN!$A$2:$B$100,2,FALSE)</f>
        <v>Reportes Contables</v>
      </c>
      <c r="E45" s="8" t="s">
        <v>47</v>
      </c>
      <c r="F45" s="6" t="str">
        <f>VLOOKUP(D45,RN_AN!$B$3:$C$100,2,FALSE)</f>
        <v>Contabilidad</v>
      </c>
      <c r="G45" s="6" t="s">
        <v>94</v>
      </c>
      <c r="H45" s="6"/>
      <c r="I45" s="29">
        <v>42074</v>
      </c>
      <c r="J45" s="30">
        <v>0.61597222222222225</v>
      </c>
      <c r="K45" s="6"/>
      <c r="L45" s="32"/>
      <c r="N45" s="24">
        <v>0</v>
      </c>
      <c r="O45" s="24">
        <v>0</v>
      </c>
    </row>
    <row r="46" spans="1:17" x14ac:dyDescent="0.25">
      <c r="A46" s="6" t="str">
        <f t="shared" si="6"/>
        <v>Con_02_02</v>
      </c>
      <c r="B46" s="7" t="s">
        <v>872</v>
      </c>
      <c r="C46" s="6" t="s">
        <v>865</v>
      </c>
      <c r="D46" s="6" t="str">
        <f>VLOOKUP(C46,RN_AN!$A$2:$B$100,2,FALSE)</f>
        <v>Reportes Contables</v>
      </c>
      <c r="E46" s="8" t="s">
        <v>48</v>
      </c>
      <c r="F46" s="6" t="str">
        <f>VLOOKUP(D46,RN_AN!$B$3:$C$100,2,FALSE)</f>
        <v>Contabilidad</v>
      </c>
      <c r="G46" s="6" t="s">
        <v>94</v>
      </c>
      <c r="H46" s="6"/>
      <c r="I46" s="29">
        <v>42074</v>
      </c>
      <c r="J46" s="30">
        <v>0.61597222222222225</v>
      </c>
      <c r="K46" s="6"/>
      <c r="L46" s="32"/>
      <c r="N46" s="24">
        <v>0</v>
      </c>
      <c r="O46" s="24">
        <v>0</v>
      </c>
    </row>
    <row r="47" spans="1:17" x14ac:dyDescent="0.25">
      <c r="A47" s="6" t="str">
        <f t="shared" si="6"/>
        <v>Con_02_5</v>
      </c>
      <c r="B47" s="7" t="s">
        <v>932</v>
      </c>
      <c r="C47" s="6" t="s">
        <v>865</v>
      </c>
      <c r="D47" s="6" t="str">
        <f>VLOOKUP(C47,RN_AN!$A$2:$B$100,2,FALSE)</f>
        <v>Reportes Contables</v>
      </c>
      <c r="E47" s="8">
        <f>VLOOKUP(D47,$N$4:$P$40,3,FALSE)</f>
        <v>5</v>
      </c>
      <c r="F47" s="6" t="str">
        <f>VLOOKUP(D47,RN_AN!$B$3:$C$100,2,FALSE)</f>
        <v>Contabilidad</v>
      </c>
      <c r="G47" s="6" t="s">
        <v>94</v>
      </c>
      <c r="H47" s="6"/>
      <c r="I47" s="29">
        <v>42074</v>
      </c>
      <c r="J47" s="30">
        <v>0.83750000000000002</v>
      </c>
      <c r="K47" s="6"/>
      <c r="L47" s="32"/>
      <c r="N47" s="24">
        <v>0</v>
      </c>
      <c r="O47" s="24">
        <v>0</v>
      </c>
    </row>
    <row r="48" spans="1:17" x14ac:dyDescent="0.25">
      <c r="A48" s="6" t="str">
        <f t="shared" si="6"/>
        <v>Con_02_5</v>
      </c>
      <c r="B48" s="7" t="s">
        <v>933</v>
      </c>
      <c r="C48" s="6" t="s">
        <v>865</v>
      </c>
      <c r="D48" s="6" t="str">
        <f>VLOOKUP(C48,RN_AN!$A$2:$B$100,2,FALSE)</f>
        <v>Reportes Contables</v>
      </c>
      <c r="E48" s="8">
        <f>VLOOKUP(D48,$N$4:$P$40,3,FALSE)</f>
        <v>5</v>
      </c>
      <c r="F48" s="6" t="str">
        <f>VLOOKUP(D48,RN_AN!$B$3:$C$100,2,FALSE)</f>
        <v>Contabilidad</v>
      </c>
      <c r="G48" s="6" t="s">
        <v>94</v>
      </c>
      <c r="H48" s="6"/>
      <c r="I48" s="29">
        <v>42074</v>
      </c>
      <c r="J48" s="30">
        <v>0.83750000000000002</v>
      </c>
      <c r="K48" s="6"/>
      <c r="L48" s="32"/>
      <c r="N48" s="24">
        <v>0</v>
      </c>
      <c r="O48" s="24">
        <v>0</v>
      </c>
    </row>
    <row r="49" spans="1:15" ht="68.25" customHeight="1" x14ac:dyDescent="0.25">
      <c r="A49" s="6" t="str">
        <f t="shared" si="6"/>
        <v>Con_02_5</v>
      </c>
      <c r="B49" s="7" t="s">
        <v>1090</v>
      </c>
      <c r="C49" s="6" t="s">
        <v>865</v>
      </c>
      <c r="D49" s="6" t="str">
        <f>VLOOKUP(C49,RN_AN!$A$2:$B$100,2,FALSE)</f>
        <v>Reportes Contables</v>
      </c>
      <c r="E49" s="8">
        <f>VLOOKUP(D49,$N$4:$P$40,3,FALSE)</f>
        <v>5</v>
      </c>
      <c r="F49" s="6" t="str">
        <f>VLOOKUP(D49,RN_AN!$B$3:$C$100,2,FALSE)</f>
        <v>Contabilidad</v>
      </c>
      <c r="G49" s="6" t="s">
        <v>94</v>
      </c>
      <c r="H49" s="6"/>
      <c r="I49" s="29">
        <v>42078</v>
      </c>
      <c r="J49" s="6" t="s">
        <v>1091</v>
      </c>
      <c r="K49" s="6"/>
      <c r="L49" s="32"/>
      <c r="N49" s="24">
        <v>0</v>
      </c>
      <c r="O49" s="24">
        <v>0</v>
      </c>
    </row>
    <row r="50" spans="1:15" ht="51.75" x14ac:dyDescent="0.25">
      <c r="A50" s="6" t="str">
        <f t="shared" si="6"/>
        <v>Con_03_01</v>
      </c>
      <c r="B50" s="7" t="s">
        <v>867</v>
      </c>
      <c r="C50" s="6" t="s">
        <v>868</v>
      </c>
      <c r="D50" s="6" t="str">
        <f>VLOOKUP(C50,RN_AN!$A$2:$B$100,2,FALSE)</f>
        <v>Aplicación de asientos contables</v>
      </c>
      <c r="E50" s="8" t="s">
        <v>47</v>
      </c>
      <c r="F50" s="6" t="str">
        <f>VLOOKUP(D50,RN_AN!$B$3:$C$100,2,FALSE)</f>
        <v>Contabilidad</v>
      </c>
      <c r="G50" s="6" t="s">
        <v>94</v>
      </c>
      <c r="H50" s="6"/>
      <c r="I50" s="29">
        <v>42074</v>
      </c>
      <c r="J50" s="30">
        <v>0.61597222222222225</v>
      </c>
      <c r="K50" s="6"/>
      <c r="L50" s="32"/>
      <c r="N50" s="24">
        <v>0</v>
      </c>
      <c r="O50" s="24">
        <v>0</v>
      </c>
    </row>
    <row r="51" spans="1:15" ht="39" x14ac:dyDescent="0.25">
      <c r="A51" s="6" t="str">
        <f t="shared" si="6"/>
        <v>Con_03_03</v>
      </c>
      <c r="B51" s="7" t="s">
        <v>1203</v>
      </c>
      <c r="C51" s="6" t="s">
        <v>868</v>
      </c>
      <c r="D51" s="6" t="str">
        <f>VLOOKUP(C51,RN_AN!$A$2:$B$100,2,FALSE)</f>
        <v>Aplicación de asientos contables</v>
      </c>
      <c r="E51" s="8" t="s">
        <v>49</v>
      </c>
      <c r="F51" s="6" t="str">
        <f>VLOOKUP(D51,RN_AN!$B$3:$C$100,2,FALSE)</f>
        <v>Contabilidad</v>
      </c>
      <c r="G51" s="6" t="s">
        <v>94</v>
      </c>
      <c r="H51" s="6"/>
      <c r="I51" s="29">
        <v>42081</v>
      </c>
      <c r="J51" s="30">
        <v>0.46111111111111108</v>
      </c>
      <c r="K51" s="6"/>
      <c r="L51" s="32"/>
    </row>
    <row r="52" spans="1:15" ht="26.25" x14ac:dyDescent="0.25">
      <c r="A52" s="6" t="str">
        <f t="shared" si="6"/>
        <v>Con_03_3</v>
      </c>
      <c r="B52" s="7" t="s">
        <v>944</v>
      </c>
      <c r="C52" s="6" t="s">
        <v>868</v>
      </c>
      <c r="D52" s="6" t="str">
        <f>VLOOKUP(C52,RN_AN!$A$2:$B$100,2,FALSE)</f>
        <v>Aplicación de asientos contables</v>
      </c>
      <c r="E52" s="8">
        <f>VLOOKUP(D52,$N$4:$P$40,3,FALSE)</f>
        <v>3</v>
      </c>
      <c r="F52" s="6" t="str">
        <f>VLOOKUP(D52,RN_AN!$B$3:$C$100,2,FALSE)</f>
        <v>Contabilidad</v>
      </c>
      <c r="G52" s="6" t="s">
        <v>94</v>
      </c>
      <c r="H52" s="6"/>
      <c r="I52" s="29">
        <v>42074</v>
      </c>
      <c r="J52" s="30">
        <v>0.84444444444444444</v>
      </c>
      <c r="K52" s="6"/>
      <c r="L52" s="32"/>
    </row>
    <row r="53" spans="1:15" ht="51.75" x14ac:dyDescent="0.25">
      <c r="A53" s="6" t="str">
        <f t="shared" si="6"/>
        <v>CxP_01_1</v>
      </c>
      <c r="B53" s="7" t="s">
        <v>949</v>
      </c>
      <c r="C53" s="6" t="s">
        <v>950</v>
      </c>
      <c r="D53" s="6" t="str">
        <f>VLOOKUP(C53,RN_AN!$A$2:$B$100,2,FALSE)</f>
        <v>Elaboración de órdenes de pago</v>
      </c>
      <c r="E53" s="8">
        <f>VLOOKUP(D53,$N$4:$P$40,3,FALSE)</f>
        <v>1</v>
      </c>
      <c r="F53" s="6" t="str">
        <f>VLOOKUP(D53,RN_AN!$B$3:$C$100,2,FALSE)</f>
        <v>Cuentas por Pagar</v>
      </c>
      <c r="G53" s="6" t="s">
        <v>94</v>
      </c>
      <c r="H53" s="6"/>
      <c r="I53" s="29">
        <v>42074</v>
      </c>
      <c r="J53" s="30">
        <v>0.84791666666666676</v>
      </c>
      <c r="K53" s="6"/>
      <c r="L53" s="32" t="s">
        <v>1642</v>
      </c>
    </row>
    <row r="54" spans="1:15" ht="39" x14ac:dyDescent="0.25">
      <c r="A54" s="6" t="str">
        <f t="shared" si="6"/>
        <v>CxP_02_1</v>
      </c>
      <c r="B54" s="7" t="s">
        <v>945</v>
      </c>
      <c r="C54" s="6" t="s">
        <v>948</v>
      </c>
      <c r="D54" s="6" t="str">
        <f>VLOOKUP(C54,RN_AN!$A$2:$B$100,2,FALSE)</f>
        <v>Recepción de Facturas</v>
      </c>
      <c r="E54" s="8">
        <f>VLOOKUP(D54,$N$4:$P$40,3,FALSE)</f>
        <v>1</v>
      </c>
      <c r="F54" s="6" t="str">
        <f>VLOOKUP(D54,RN_AN!$B$3:$C$100,2,FALSE)</f>
        <v>Cuentas por Pagar</v>
      </c>
      <c r="G54" s="6" t="s">
        <v>94</v>
      </c>
      <c r="H54" s="6"/>
      <c r="I54" s="29">
        <v>42074</v>
      </c>
      <c r="J54" s="30">
        <v>0.84652777777777777</v>
      </c>
      <c r="K54" s="6"/>
      <c r="L54" s="32" t="s">
        <v>1649</v>
      </c>
    </row>
    <row r="55" spans="1:15" ht="77.25" x14ac:dyDescent="0.25">
      <c r="A55" s="6" t="str">
        <f t="shared" si="6"/>
        <v>CxP_03_1</v>
      </c>
      <c r="B55" s="7" t="s">
        <v>946</v>
      </c>
      <c r="C55" s="6" t="s">
        <v>947</v>
      </c>
      <c r="D55" s="6" t="str">
        <f>VLOOKUP(C55,RN_AN!$A$2:$B$100,2,FALSE)</f>
        <v>Revisión de Facturas</v>
      </c>
      <c r="E55" s="8">
        <f>VLOOKUP(D55,$N$4:$P$40,3,FALSE)</f>
        <v>1</v>
      </c>
      <c r="F55" s="6" t="str">
        <f>VLOOKUP(D55,RN_AN!$B$3:$C$100,2,FALSE)</f>
        <v>Cuentas por Pagar</v>
      </c>
      <c r="G55" s="6" t="s">
        <v>94</v>
      </c>
      <c r="H55" s="6"/>
      <c r="I55" s="29">
        <v>42074</v>
      </c>
      <c r="J55" s="30">
        <v>0.84652777777777777</v>
      </c>
      <c r="K55" s="6"/>
      <c r="L55" s="32" t="s">
        <v>1641</v>
      </c>
    </row>
    <row r="56" spans="1:15" ht="51.75" x14ac:dyDescent="0.25">
      <c r="A56" s="6" t="str">
        <f t="shared" si="6"/>
        <v>CxP_04_1</v>
      </c>
      <c r="B56" s="7" t="s">
        <v>942</v>
      </c>
      <c r="C56" s="6" t="s">
        <v>943</v>
      </c>
      <c r="D56" s="6" t="str">
        <f>VLOOKUP(C56,RN_AN!$A$2:$B$100,2,FALSE)</f>
        <v>Recepción de Notas de Crédito</v>
      </c>
      <c r="E56" s="8">
        <f>VLOOKUP(D56,$N$4:$P$40,3,FALSE)</f>
        <v>1</v>
      </c>
      <c r="F56" s="6" t="str">
        <f>VLOOKUP(D56,RN_AN!$B$3:$C$100,2,FALSE)</f>
        <v>Cuentas por Pagar</v>
      </c>
      <c r="G56" s="6" t="s">
        <v>94</v>
      </c>
      <c r="H56" s="6"/>
      <c r="I56" s="29">
        <v>42074</v>
      </c>
      <c r="J56" s="30">
        <v>0.84166666666666667</v>
      </c>
      <c r="K56" s="6"/>
      <c r="L56" s="32" t="s">
        <v>1641</v>
      </c>
    </row>
    <row r="57" spans="1:15" ht="51.75" x14ac:dyDescent="0.25">
      <c r="A57" s="6" t="str">
        <f t="shared" si="6"/>
        <v>Inv_01_01</v>
      </c>
      <c r="B57" s="7" t="s">
        <v>920</v>
      </c>
      <c r="C57" s="6" t="s">
        <v>877</v>
      </c>
      <c r="D57" s="6" t="str">
        <f>VLOOKUP(C57,RN_AN!$A$2:$B$100,2,FALSE)</f>
        <v>Administración de Inventarios</v>
      </c>
      <c r="E57" s="8" t="s">
        <v>47</v>
      </c>
      <c r="F57" s="6" t="str">
        <f>VLOOKUP(D57,RN_AN!$B$3:$C$100,2,FALSE)</f>
        <v>Inventarios</v>
      </c>
      <c r="G57" s="6" t="s">
        <v>94</v>
      </c>
      <c r="H57" s="6"/>
      <c r="I57" s="29">
        <v>42074</v>
      </c>
      <c r="J57" s="30">
        <v>0.61597222222222225</v>
      </c>
      <c r="K57" s="30" t="s">
        <v>704</v>
      </c>
      <c r="L57" s="32" t="s">
        <v>1640</v>
      </c>
    </row>
    <row r="58" spans="1:15" ht="77.25" hidden="1" x14ac:dyDescent="0.25">
      <c r="A58" s="6" t="str">
        <f t="shared" si="6"/>
        <v>Inv_01_04</v>
      </c>
      <c r="B58" s="7" t="s">
        <v>84</v>
      </c>
      <c r="C58" s="6" t="s">
        <v>877</v>
      </c>
      <c r="D58" s="6" t="str">
        <f>VLOOKUP(C58,RN_AN!$A$2:$B$100,2,FALSE)</f>
        <v>Administración de Inventarios</v>
      </c>
      <c r="E58" s="8" t="s">
        <v>50</v>
      </c>
      <c r="F58" s="6" t="str">
        <f>VLOOKUP(D58,RN_AN!$B$3:$C$100,2,FALSE)</f>
        <v>Inventarios</v>
      </c>
      <c r="G58" s="6" t="s">
        <v>91</v>
      </c>
      <c r="H58" s="6" t="s">
        <v>921</v>
      </c>
      <c r="I58" s="29">
        <v>42074</v>
      </c>
      <c r="J58" s="30">
        <v>0.6069444444444444</v>
      </c>
      <c r="K58" s="30" t="s">
        <v>704</v>
      </c>
      <c r="L58" s="30" t="e">
        <f>VLOOKUP(A58,UI!$L$3:$M$998,2,FALSE)</f>
        <v>#N/A</v>
      </c>
    </row>
    <row r="59" spans="1:15" ht="64.5" x14ac:dyDescent="0.25">
      <c r="A59" s="6" t="str">
        <f t="shared" si="6"/>
        <v>Inv_01_02</v>
      </c>
      <c r="B59" s="7" t="s">
        <v>937</v>
      </c>
      <c r="C59" s="6" t="s">
        <v>877</v>
      </c>
      <c r="D59" s="6" t="str">
        <f>VLOOKUP(C59,RN_AN!$A$2:$B$100,2,FALSE)</f>
        <v>Administración de Inventarios</v>
      </c>
      <c r="E59" s="8" t="s">
        <v>48</v>
      </c>
      <c r="F59" s="6" t="str">
        <f>VLOOKUP(D59,RN_AN!$B$3:$C$100,2,FALSE)</f>
        <v>Inventarios</v>
      </c>
      <c r="G59" s="6" t="s">
        <v>94</v>
      </c>
      <c r="H59" s="6"/>
      <c r="I59" s="29">
        <v>42074</v>
      </c>
      <c r="J59" s="30">
        <v>0.80833333333333324</v>
      </c>
      <c r="K59" s="30" t="s">
        <v>704</v>
      </c>
      <c r="L59" s="32" t="s">
        <v>1665</v>
      </c>
    </row>
    <row r="60" spans="1:15" ht="77.25" x14ac:dyDescent="0.25">
      <c r="A60" s="6" t="str">
        <f t="shared" si="6"/>
        <v>Inv_02_01</v>
      </c>
      <c r="B60" s="9" t="s">
        <v>108</v>
      </c>
      <c r="C60" s="6" t="s">
        <v>879</v>
      </c>
      <c r="D60" s="6" t="str">
        <f>VLOOKUP(C60,RN_AN!$A$2:$B$100,2,FALSE)</f>
        <v>Elaboración de Inventarios físicos</v>
      </c>
      <c r="E60" s="8" t="s">
        <v>47</v>
      </c>
      <c r="F60" s="6" t="str">
        <f>VLOOKUP(D60,RN_AN!$B$3:$C$100,2,FALSE)</f>
        <v>Inventarios</v>
      </c>
      <c r="G60" s="6" t="s">
        <v>94</v>
      </c>
      <c r="H60" s="6" t="s">
        <v>100</v>
      </c>
      <c r="I60" s="29">
        <v>42074</v>
      </c>
      <c r="J60" s="30">
        <v>0.54375000000000007</v>
      </c>
      <c r="K60" s="30" t="s">
        <v>704</v>
      </c>
      <c r="L60" s="32" t="s">
        <v>1681</v>
      </c>
    </row>
    <row r="61" spans="1:15" ht="39" x14ac:dyDescent="0.25">
      <c r="A61" s="6" t="str">
        <f t="shared" si="6"/>
        <v>Inv_03_01</v>
      </c>
      <c r="B61" s="7" t="s">
        <v>368</v>
      </c>
      <c r="C61" s="6" t="s">
        <v>880</v>
      </c>
      <c r="D61" s="6" t="str">
        <f>VLOOKUP(C61,RN_AN!$A$2:$B$100,2,FALSE)</f>
        <v>Consulta de Niveles de Inventario</v>
      </c>
      <c r="E61" s="8" t="s">
        <v>47</v>
      </c>
      <c r="F61" s="6" t="str">
        <f>VLOOKUP(D61,RN_AN!$B$3:$C$100,2,FALSE)</f>
        <v>Inventarios</v>
      </c>
      <c r="G61" s="6" t="s">
        <v>94</v>
      </c>
      <c r="H61" s="6" t="s">
        <v>369</v>
      </c>
      <c r="I61" s="29">
        <v>42074</v>
      </c>
      <c r="J61" s="30">
        <v>0.54375000000000007</v>
      </c>
      <c r="K61" s="30" t="s">
        <v>704</v>
      </c>
      <c r="L61" s="32" t="s">
        <v>1446</v>
      </c>
    </row>
    <row r="62" spans="1:15" ht="51.75" x14ac:dyDescent="0.25">
      <c r="A62" s="6" t="str">
        <f t="shared" si="6"/>
        <v>Inv_03_02</v>
      </c>
      <c r="B62" s="7" t="s">
        <v>82</v>
      </c>
      <c r="C62" s="6" t="s">
        <v>880</v>
      </c>
      <c r="D62" s="6" t="str">
        <f>VLOOKUP(C62,RN_AN!$A$2:$B$100,2,FALSE)</f>
        <v>Consulta de Niveles de Inventario</v>
      </c>
      <c r="E62" s="8" t="s">
        <v>48</v>
      </c>
      <c r="F62" s="6" t="str">
        <f>VLOOKUP(D62,RN_AN!$B$3:$C$100,2,FALSE)</f>
        <v>Inventarios</v>
      </c>
      <c r="G62" s="6" t="s">
        <v>94</v>
      </c>
      <c r="H62" s="6"/>
      <c r="I62" s="29">
        <v>42074</v>
      </c>
      <c r="J62" s="30">
        <v>0.61597222222222225</v>
      </c>
      <c r="K62" s="30" t="s">
        <v>704</v>
      </c>
      <c r="L62" s="32" t="s">
        <v>1446</v>
      </c>
    </row>
    <row r="63" spans="1:15" x14ac:dyDescent="0.25">
      <c r="A63" s="6" t="str">
        <f t="shared" si="6"/>
        <v>Mas_01_01</v>
      </c>
      <c r="B63" s="7" t="s">
        <v>41</v>
      </c>
      <c r="C63" s="6" t="s">
        <v>839</v>
      </c>
      <c r="D63" s="6" t="str">
        <f>VLOOKUP(C63,RN_AN!$A$2:$B$100,2,FALSE)</f>
        <v>Administración de Platillos y Bebidas</v>
      </c>
      <c r="E63" s="8" t="s">
        <v>47</v>
      </c>
      <c r="F63" s="6" t="str">
        <f>VLOOKUP(D63,RN_AN!$B$3:$C$100,2,FALSE)</f>
        <v>Administración de Catálogos y Registros Maestros</v>
      </c>
      <c r="G63" s="6" t="s">
        <v>94</v>
      </c>
      <c r="H63" s="6"/>
      <c r="I63" s="29">
        <v>42074</v>
      </c>
      <c r="J63" s="30">
        <v>0.5444444444444444</v>
      </c>
      <c r="K63" s="30" t="s">
        <v>704</v>
      </c>
      <c r="L63" s="32"/>
    </row>
    <row r="64" spans="1:15" x14ac:dyDescent="0.25">
      <c r="A64" s="6" t="str">
        <f t="shared" si="6"/>
        <v>Mas_01_02</v>
      </c>
      <c r="B64" s="7" t="s">
        <v>42</v>
      </c>
      <c r="C64" s="6" t="s">
        <v>839</v>
      </c>
      <c r="D64" s="6" t="str">
        <f>VLOOKUP(C64,RN_AN!$A$2:$B$100,2,FALSE)</f>
        <v>Administración de Platillos y Bebidas</v>
      </c>
      <c r="E64" s="8" t="s">
        <v>48</v>
      </c>
      <c r="F64" s="6" t="str">
        <f>VLOOKUP(D64,RN_AN!$B$3:$C$100,2,FALSE)</f>
        <v>Administración de Catálogos y Registros Maestros</v>
      </c>
      <c r="G64" s="6" t="s">
        <v>94</v>
      </c>
      <c r="H64" s="6"/>
      <c r="I64" s="29">
        <v>42074</v>
      </c>
      <c r="J64" s="30">
        <v>0.5444444444444444</v>
      </c>
      <c r="K64" s="30" t="s">
        <v>704</v>
      </c>
      <c r="L64" s="32"/>
    </row>
    <row r="65" spans="1:12" ht="51.75" x14ac:dyDescent="0.25">
      <c r="A65" s="6" t="str">
        <f t="shared" si="6"/>
        <v>Mas_01_03</v>
      </c>
      <c r="B65" s="7" t="s">
        <v>77</v>
      </c>
      <c r="C65" s="6" t="s">
        <v>839</v>
      </c>
      <c r="D65" s="6" t="str">
        <f>VLOOKUP(C65,RN_AN!$A$2:$B$100,2,FALSE)</f>
        <v>Administración de Platillos y Bebidas</v>
      </c>
      <c r="E65" s="8" t="s">
        <v>49</v>
      </c>
      <c r="F65" s="6" t="str">
        <f>VLOOKUP(D65,RN_AN!$B$3:$C$100,2,FALSE)</f>
        <v>Administración de Catálogos y Registros Maestros</v>
      </c>
      <c r="G65" s="6" t="s">
        <v>94</v>
      </c>
      <c r="H65" s="6"/>
      <c r="I65" s="29">
        <v>42074</v>
      </c>
      <c r="J65" s="30">
        <v>0.61597222222222225</v>
      </c>
      <c r="K65" s="30" t="s">
        <v>704</v>
      </c>
      <c r="L65" s="32"/>
    </row>
    <row r="66" spans="1:12" x14ac:dyDescent="0.25">
      <c r="A66" s="6" t="str">
        <f t="shared" si="6"/>
        <v>Mas_01_04</v>
      </c>
      <c r="B66" s="7" t="s">
        <v>40</v>
      </c>
      <c r="C66" s="6" t="s">
        <v>839</v>
      </c>
      <c r="D66" s="6" t="str">
        <f>VLOOKUP(C66,RN_AN!$A$2:$B$100,2,FALSE)</f>
        <v>Administración de Platillos y Bebidas</v>
      </c>
      <c r="E66" s="8" t="s">
        <v>50</v>
      </c>
      <c r="F66" s="6" t="str">
        <f>VLOOKUP(D66,RN_AN!$B$3:$C$100,2,FALSE)</f>
        <v>Administración de Catálogos y Registros Maestros</v>
      </c>
      <c r="G66" s="6" t="s">
        <v>94</v>
      </c>
      <c r="H66" s="6"/>
      <c r="I66" s="29">
        <v>42074</v>
      </c>
      <c r="J66" s="30">
        <v>0.6166666666666667</v>
      </c>
      <c r="K66" s="30" t="s">
        <v>704</v>
      </c>
      <c r="L66" s="32"/>
    </row>
    <row r="67" spans="1:12" ht="39" x14ac:dyDescent="0.25">
      <c r="A67" s="6" t="str">
        <f t="shared" si="6"/>
        <v>Mas_01_05</v>
      </c>
      <c r="B67" s="7" t="s">
        <v>681</v>
      </c>
      <c r="C67" s="6" t="s">
        <v>839</v>
      </c>
      <c r="D67" s="6" t="str">
        <f>VLOOKUP(C67,RN_AN!$A$2:$B$100,2,FALSE)</f>
        <v>Administración de Platillos y Bebidas</v>
      </c>
      <c r="E67" s="8" t="s">
        <v>51</v>
      </c>
      <c r="F67" s="6" t="str">
        <f>VLOOKUP(D67,RN_AN!$B$3:$C$100,2,FALSE)</f>
        <v>Administración de Catálogos y Registros Maestros</v>
      </c>
      <c r="G67" s="6" t="s">
        <v>94</v>
      </c>
      <c r="H67" s="6" t="s">
        <v>682</v>
      </c>
      <c r="I67" s="29">
        <v>42074</v>
      </c>
      <c r="J67" s="30">
        <v>0.6166666666666667</v>
      </c>
      <c r="K67" s="30" t="s">
        <v>706</v>
      </c>
      <c r="L67" s="32"/>
    </row>
    <row r="68" spans="1:12" ht="39" x14ac:dyDescent="0.25">
      <c r="A68" s="6" t="str">
        <f t="shared" si="6"/>
        <v>Mas_01_06</v>
      </c>
      <c r="B68" s="7" t="s">
        <v>683</v>
      </c>
      <c r="C68" s="6" t="s">
        <v>839</v>
      </c>
      <c r="D68" s="6" t="str">
        <f>VLOOKUP(C68,RN_AN!$A$2:$B$100,2,FALSE)</f>
        <v>Administración de Platillos y Bebidas</v>
      </c>
      <c r="E68" s="8" t="s">
        <v>52</v>
      </c>
      <c r="F68" s="6" t="str">
        <f>VLOOKUP(D68,RN_AN!$B$3:$C$100,2,FALSE)</f>
        <v>Administración de Catálogos y Registros Maestros</v>
      </c>
      <c r="G68" s="6" t="s">
        <v>94</v>
      </c>
      <c r="H68" s="6" t="s">
        <v>684</v>
      </c>
      <c r="I68" s="29">
        <v>42074</v>
      </c>
      <c r="J68" s="30">
        <v>0.6166666666666667</v>
      </c>
      <c r="K68" s="30" t="s">
        <v>704</v>
      </c>
      <c r="L68" s="32"/>
    </row>
    <row r="69" spans="1:12" ht="64.5" x14ac:dyDescent="0.25">
      <c r="A69" s="6" t="str">
        <f t="shared" si="6"/>
        <v>Mas_01_07</v>
      </c>
      <c r="B69" s="7" t="s">
        <v>685</v>
      </c>
      <c r="C69" s="6" t="s">
        <v>839</v>
      </c>
      <c r="D69" s="6" t="str">
        <f>VLOOKUP(C69,RN_AN!$A$2:$B$100,2,FALSE)</f>
        <v>Administración de Platillos y Bebidas</v>
      </c>
      <c r="E69" s="8" t="s">
        <v>53</v>
      </c>
      <c r="F69" s="6" t="str">
        <f>VLOOKUP(D69,RN_AN!$B$3:$C$100,2,FALSE)</f>
        <v>Administración de Catálogos y Registros Maestros</v>
      </c>
      <c r="G69" s="6" t="s">
        <v>94</v>
      </c>
      <c r="H69" s="6"/>
      <c r="I69" s="29">
        <v>42074</v>
      </c>
      <c r="J69" s="30">
        <v>0.6166666666666667</v>
      </c>
      <c r="K69" s="30" t="s">
        <v>706</v>
      </c>
      <c r="L69" s="32"/>
    </row>
    <row r="70" spans="1:12" ht="51.75" x14ac:dyDescent="0.25">
      <c r="A70" s="6" t="str">
        <f t="shared" si="6"/>
        <v>Mas_01_08</v>
      </c>
      <c r="B70" s="7" t="s">
        <v>700</v>
      </c>
      <c r="C70" s="6" t="s">
        <v>839</v>
      </c>
      <c r="D70" s="6" t="str">
        <f>VLOOKUP(C70,RN_AN!$A$2:$B$100,2,FALSE)</f>
        <v>Administración de Platillos y Bebidas</v>
      </c>
      <c r="E70" s="8" t="s">
        <v>54</v>
      </c>
      <c r="F70" s="6" t="str">
        <f>VLOOKUP(D70,RN_AN!$B$3:$C$100,2,FALSE)</f>
        <v>Administración de Catálogos y Registros Maestros</v>
      </c>
      <c r="G70" s="6" t="s">
        <v>94</v>
      </c>
      <c r="H70" s="6"/>
      <c r="I70" s="29">
        <v>42074</v>
      </c>
      <c r="J70" s="30">
        <v>0.6166666666666667</v>
      </c>
      <c r="K70" s="30" t="s">
        <v>704</v>
      </c>
      <c r="L70" s="32"/>
    </row>
    <row r="71" spans="1:12" ht="39" x14ac:dyDescent="0.25">
      <c r="A71" s="6" t="str">
        <f t="shared" si="6"/>
        <v>Mas_01_09</v>
      </c>
      <c r="B71" s="7" t="s">
        <v>838</v>
      </c>
      <c r="C71" s="6" t="s">
        <v>839</v>
      </c>
      <c r="D71" s="6" t="str">
        <f>VLOOKUP(C71,RN_AN!$A$2:$B$100,2,FALSE)</f>
        <v>Administración de Platillos y Bebidas</v>
      </c>
      <c r="E71" s="8" t="s">
        <v>55</v>
      </c>
      <c r="F71" s="6" t="str">
        <f>VLOOKUP(D71,RN_AN!$B$3:$C$100,2,FALSE)</f>
        <v>Administración de Catálogos y Registros Maestros</v>
      </c>
      <c r="G71" s="6" t="s">
        <v>94</v>
      </c>
      <c r="H71" s="6"/>
      <c r="I71" s="29">
        <v>42074</v>
      </c>
      <c r="J71" s="30">
        <v>0.6166666666666667</v>
      </c>
      <c r="K71" s="6"/>
      <c r="L71" s="32"/>
    </row>
    <row r="72" spans="1:12" ht="39" x14ac:dyDescent="0.25">
      <c r="A72" s="6" t="str">
        <f t="shared" ref="A72:A103" si="7">CONCATENATE(C72,"_",E72)</f>
        <v>Mas_01_10</v>
      </c>
      <c r="B72" s="7" t="s">
        <v>881</v>
      </c>
      <c r="C72" s="6" t="s">
        <v>839</v>
      </c>
      <c r="D72" s="6" t="str">
        <f>VLOOKUP(C72,RN_AN!$A$2:$B$100,2,FALSE)</f>
        <v>Administración de Platillos y Bebidas</v>
      </c>
      <c r="E72" s="8">
        <v>10</v>
      </c>
      <c r="F72" s="6" t="str">
        <f>VLOOKUP(D72,RN_AN!$B$3:$C$100,2,FALSE)</f>
        <v>Administración de Catálogos y Registros Maestros</v>
      </c>
      <c r="G72" s="6" t="s">
        <v>94</v>
      </c>
      <c r="H72" s="6"/>
      <c r="I72" s="29">
        <v>42074</v>
      </c>
      <c r="J72" s="30">
        <v>0.6166666666666667</v>
      </c>
      <c r="K72" s="6" t="s">
        <v>704</v>
      </c>
      <c r="L72" s="32"/>
    </row>
    <row r="73" spans="1:12" ht="39" x14ac:dyDescent="0.25">
      <c r="A73" s="6" t="str">
        <f t="shared" si="7"/>
        <v>Mas_02_01</v>
      </c>
      <c r="B73" s="7" t="s">
        <v>111</v>
      </c>
      <c r="C73" s="6" t="s">
        <v>859</v>
      </c>
      <c r="D73" s="6" t="str">
        <f>VLOOKUP(C73,RN_AN!$A$2:$B$100,2,FALSE)</f>
        <v>Catálogos asociados con registros maestros</v>
      </c>
      <c r="E73" s="8" t="s">
        <v>47</v>
      </c>
      <c r="F73" s="6" t="str">
        <f>VLOOKUP(D73,RN_AN!$B$3:$C$100,2,FALSE)</f>
        <v>Administración de Catálogos y Registros Maestros</v>
      </c>
      <c r="G73" s="6" t="s">
        <v>94</v>
      </c>
      <c r="H73" s="6" t="s">
        <v>104</v>
      </c>
      <c r="I73" s="29">
        <v>42074</v>
      </c>
      <c r="J73" s="30">
        <v>0.6166666666666667</v>
      </c>
      <c r="K73" s="30"/>
      <c r="L73" s="32"/>
    </row>
    <row r="74" spans="1:12" ht="39" x14ac:dyDescent="0.25">
      <c r="A74" s="6" t="str">
        <f t="shared" si="7"/>
        <v>Mas_02_02</v>
      </c>
      <c r="B74" s="9" t="s">
        <v>876</v>
      </c>
      <c r="C74" s="11" t="s">
        <v>859</v>
      </c>
      <c r="D74" s="6" t="str">
        <f>VLOOKUP(C74,RN_AN!$A$2:$B$100,2,FALSE)</f>
        <v>Catálogos asociados con registros maestros</v>
      </c>
      <c r="E74" s="10" t="s">
        <v>48</v>
      </c>
      <c r="F74" s="6" t="str">
        <f>VLOOKUP(D74,RN_AN!$B$3:$C$100,2,FALSE)</f>
        <v>Administración de Catálogos y Registros Maestros</v>
      </c>
      <c r="G74" s="6" t="s">
        <v>94</v>
      </c>
      <c r="H74" s="6" t="s">
        <v>99</v>
      </c>
      <c r="I74" s="29">
        <v>42074</v>
      </c>
      <c r="J74" s="30">
        <v>0.6166666666666667</v>
      </c>
      <c r="K74" s="30" t="s">
        <v>704</v>
      </c>
      <c r="L74" s="32"/>
    </row>
    <row r="75" spans="1:12" ht="39" x14ac:dyDescent="0.25">
      <c r="A75" s="6" t="str">
        <f t="shared" si="7"/>
        <v>Mas_02_03</v>
      </c>
      <c r="B75" s="9" t="s">
        <v>340</v>
      </c>
      <c r="C75" s="11" t="s">
        <v>859</v>
      </c>
      <c r="D75" s="6" t="str">
        <f>VLOOKUP(C75,RN_AN!$A$2:$B$100,2,FALSE)</f>
        <v>Catálogos asociados con registros maestros</v>
      </c>
      <c r="E75" s="10" t="s">
        <v>49</v>
      </c>
      <c r="F75" s="6" t="str">
        <f>VLOOKUP(D75,RN_AN!$B$3:$C$100,2,FALSE)</f>
        <v>Administración de Catálogos y Registros Maestros</v>
      </c>
      <c r="G75" s="6" t="s">
        <v>94</v>
      </c>
      <c r="H75" s="6"/>
      <c r="I75" s="29">
        <v>42074</v>
      </c>
      <c r="J75" s="30">
        <v>0.6166666666666667</v>
      </c>
      <c r="K75" s="30" t="s">
        <v>704</v>
      </c>
      <c r="L75" s="32"/>
    </row>
    <row r="76" spans="1:12" x14ac:dyDescent="0.25">
      <c r="A76" s="6" t="str">
        <f t="shared" si="7"/>
        <v>Mas_02_04</v>
      </c>
      <c r="B76" s="28" t="s">
        <v>302</v>
      </c>
      <c r="C76" s="6" t="s">
        <v>859</v>
      </c>
      <c r="D76" s="6" t="str">
        <f>VLOOKUP(C76,RN_AN!$A$2:$B$100,2,FALSE)</f>
        <v>Catálogos asociados con registros maestros</v>
      </c>
      <c r="E76" s="8" t="s">
        <v>50</v>
      </c>
      <c r="F76" s="6" t="str">
        <f>VLOOKUP(D76,RN_AN!$B$3:$C$100,2,FALSE)</f>
        <v>Administración de Catálogos y Registros Maestros</v>
      </c>
      <c r="G76" s="6" t="s">
        <v>94</v>
      </c>
      <c r="H76" s="6"/>
      <c r="I76" s="29">
        <v>42074</v>
      </c>
      <c r="J76" s="30">
        <v>0.6166666666666667</v>
      </c>
      <c r="K76" s="30" t="s">
        <v>704</v>
      </c>
      <c r="L76" s="32"/>
    </row>
    <row r="77" spans="1:12" x14ac:dyDescent="0.25">
      <c r="A77" s="6" t="str">
        <f t="shared" si="7"/>
        <v>Mas_02_05</v>
      </c>
      <c r="B77" s="28" t="s">
        <v>301</v>
      </c>
      <c r="C77" s="6" t="s">
        <v>859</v>
      </c>
      <c r="D77" s="6" t="str">
        <f>VLOOKUP(C77,RN_AN!$A$2:$B$100,2,FALSE)</f>
        <v>Catálogos asociados con registros maestros</v>
      </c>
      <c r="E77" s="8" t="s">
        <v>51</v>
      </c>
      <c r="F77" s="6" t="str">
        <f>VLOOKUP(D77,RN_AN!$B$3:$C$100,2,FALSE)</f>
        <v>Administración de Catálogos y Registros Maestros</v>
      </c>
      <c r="G77" s="6" t="s">
        <v>94</v>
      </c>
      <c r="H77" s="6"/>
      <c r="I77" s="29">
        <v>42074</v>
      </c>
      <c r="J77" s="30">
        <v>0.6166666666666667</v>
      </c>
      <c r="K77" s="30" t="s">
        <v>704</v>
      </c>
      <c r="L77" s="32"/>
    </row>
    <row r="78" spans="1:12" x14ac:dyDescent="0.25">
      <c r="A78" s="6" t="str">
        <f t="shared" si="7"/>
        <v>Mas_02_06</v>
      </c>
      <c r="B78" s="28" t="s">
        <v>771</v>
      </c>
      <c r="C78" s="6" t="s">
        <v>859</v>
      </c>
      <c r="D78" s="6" t="str">
        <f>VLOOKUP(C78,RN_AN!$A$2:$B$100,2,FALSE)</f>
        <v>Catálogos asociados con registros maestros</v>
      </c>
      <c r="E78" s="8" t="s">
        <v>52</v>
      </c>
      <c r="F78" s="6" t="str">
        <f>VLOOKUP(D78,RN_AN!$B$3:$C$100,2,FALSE)</f>
        <v>Administración de Catálogos y Registros Maestros</v>
      </c>
      <c r="G78" s="6" t="s">
        <v>94</v>
      </c>
      <c r="H78" s="6"/>
      <c r="I78" s="29">
        <v>42074</v>
      </c>
      <c r="J78" s="30">
        <v>0.6166666666666667</v>
      </c>
      <c r="K78" s="6"/>
      <c r="L78" s="32"/>
    </row>
    <row r="79" spans="1:12" ht="39" x14ac:dyDescent="0.25">
      <c r="A79" s="6" t="str">
        <f t="shared" si="7"/>
        <v>Mas_02_07</v>
      </c>
      <c r="B79" s="7" t="s">
        <v>857</v>
      </c>
      <c r="C79" s="6" t="s">
        <v>859</v>
      </c>
      <c r="D79" s="6" t="str">
        <f>VLOOKUP(C79,RN_AN!$A$2:$B$100,2,FALSE)</f>
        <v>Catálogos asociados con registros maestros</v>
      </c>
      <c r="E79" s="8" t="s">
        <v>53</v>
      </c>
      <c r="F79" s="6" t="str">
        <f>VLOOKUP(D79,RN_AN!$B$3:$C$100,2,FALSE)</f>
        <v>Administración de Catálogos y Registros Maestros</v>
      </c>
      <c r="G79" s="6" t="s">
        <v>94</v>
      </c>
      <c r="H79" s="6"/>
      <c r="I79" s="29">
        <v>42074</v>
      </c>
      <c r="J79" s="30">
        <v>0.6166666666666667</v>
      </c>
      <c r="K79" s="6"/>
      <c r="L79" s="32"/>
    </row>
    <row r="80" spans="1:12" x14ac:dyDescent="0.25">
      <c r="A80" s="6" t="str">
        <f t="shared" si="7"/>
        <v>Mas_02_08</v>
      </c>
      <c r="B80" s="7" t="s">
        <v>860</v>
      </c>
      <c r="C80" s="6" t="s">
        <v>859</v>
      </c>
      <c r="D80" s="6" t="str">
        <f>VLOOKUP(C80,RN_AN!$A$2:$B$100,2,FALSE)</f>
        <v>Catálogos asociados con registros maestros</v>
      </c>
      <c r="E80" s="8" t="s">
        <v>54</v>
      </c>
      <c r="F80" s="6" t="str">
        <f>VLOOKUP(D80,RN_AN!$B$3:$C$100,2,FALSE)</f>
        <v>Administración de Catálogos y Registros Maestros</v>
      </c>
      <c r="G80" s="6" t="s">
        <v>94</v>
      </c>
      <c r="H80" s="6"/>
      <c r="I80" s="29">
        <v>42074</v>
      </c>
      <c r="J80" s="30">
        <v>0.6166666666666667</v>
      </c>
      <c r="K80" s="6"/>
      <c r="L80" s="32"/>
    </row>
    <row r="81" spans="1:12" ht="39" x14ac:dyDescent="0.25">
      <c r="A81" s="6" t="str">
        <f t="shared" si="7"/>
        <v>Mas_02_10</v>
      </c>
      <c r="B81" s="7" t="s">
        <v>925</v>
      </c>
      <c r="C81" s="6" t="s">
        <v>859</v>
      </c>
      <c r="D81" s="6" t="str">
        <f>VLOOKUP(C81,RN_AN!$A$2:$B$100,2,FALSE)</f>
        <v>Catálogos asociados con registros maestros</v>
      </c>
      <c r="E81" s="8">
        <f>VLOOKUP(D81,$N$4:$P$40,3,FALSE)</f>
        <v>10</v>
      </c>
      <c r="F81" s="6" t="str">
        <f>VLOOKUP(D81,RN_AN!$B$3:$C$100,2,FALSE)</f>
        <v>Administración de Catálogos y Registros Maestros</v>
      </c>
      <c r="G81" s="6" t="s">
        <v>94</v>
      </c>
      <c r="H81" s="6"/>
      <c r="I81" s="29">
        <v>42074</v>
      </c>
      <c r="J81" s="30">
        <v>0.62847222222222221</v>
      </c>
      <c r="K81" s="6"/>
      <c r="L81" s="32"/>
    </row>
    <row r="82" spans="1:12" ht="102.75" x14ac:dyDescent="0.25">
      <c r="A82" s="6" t="str">
        <f t="shared" si="7"/>
        <v>Mas_02_10</v>
      </c>
      <c r="B82" s="7" t="s">
        <v>955</v>
      </c>
      <c r="C82" s="6" t="s">
        <v>859</v>
      </c>
      <c r="D82" s="6" t="str">
        <f>VLOOKUP(C82,RN_AN!$A$2:$B$100,2,FALSE)</f>
        <v>Catálogos asociados con registros maestros</v>
      </c>
      <c r="E82" s="8">
        <f>VLOOKUP(D82,$N$4:$P$40,3,FALSE)</f>
        <v>10</v>
      </c>
      <c r="F82" s="6" t="str">
        <f>VLOOKUP(D82,RN_AN!$B$3:$C$100,2,FALSE)</f>
        <v>Administración de Catálogos y Registros Maestros</v>
      </c>
      <c r="G82" s="6" t="s">
        <v>94</v>
      </c>
      <c r="H82" s="6"/>
      <c r="I82" s="29">
        <v>42075</v>
      </c>
      <c r="J82" s="30">
        <v>0.57638888888888895</v>
      </c>
      <c r="K82" s="6"/>
      <c r="L82" s="32"/>
    </row>
    <row r="83" spans="1:12" ht="51.75" x14ac:dyDescent="0.25">
      <c r="A83" s="6" t="str">
        <f t="shared" si="7"/>
        <v>Mas_03_01</v>
      </c>
      <c r="B83" s="7" t="s">
        <v>79</v>
      </c>
      <c r="C83" s="6" t="s">
        <v>862</v>
      </c>
      <c r="D83" s="6" t="str">
        <f>VLOOKUP(C83,RN_AN!$A$2:$B$100,2,FALSE)</f>
        <v>Administración de Mercancías</v>
      </c>
      <c r="E83" s="8" t="s">
        <v>47</v>
      </c>
      <c r="F83" s="6" t="str">
        <f>VLOOKUP(D83,RN_AN!$B$3:$C$100,2,FALSE)</f>
        <v>Administración de Catálogos y Registros Maestros</v>
      </c>
      <c r="G83" s="6" t="s">
        <v>94</v>
      </c>
      <c r="H83" s="6"/>
      <c r="I83" s="29">
        <v>42074</v>
      </c>
      <c r="J83" s="30">
        <v>0.55763888888888891</v>
      </c>
      <c r="K83" s="30" t="s">
        <v>704</v>
      </c>
      <c r="L83" s="32"/>
    </row>
    <row r="84" spans="1:12" ht="39" x14ac:dyDescent="0.25">
      <c r="A84" s="6" t="str">
        <f t="shared" si="7"/>
        <v>Mas_03_02</v>
      </c>
      <c r="B84" s="7" t="s">
        <v>110</v>
      </c>
      <c r="C84" s="6" t="s">
        <v>862</v>
      </c>
      <c r="D84" s="6" t="str">
        <f>VLOOKUP(C84,RN_AN!$A$2:$B$100,2,FALSE)</f>
        <v>Administración de Mercancías</v>
      </c>
      <c r="E84" s="8" t="s">
        <v>48</v>
      </c>
      <c r="F84" s="6" t="str">
        <f>VLOOKUP(D84,RN_AN!$B$3:$C$100,2,FALSE)</f>
        <v>Administración de Catálogos y Registros Maestros</v>
      </c>
      <c r="G84" s="6" t="s">
        <v>94</v>
      </c>
      <c r="H84" s="6" t="s">
        <v>102</v>
      </c>
      <c r="I84" s="29">
        <v>42074</v>
      </c>
      <c r="J84" s="30">
        <v>0.6166666666666667</v>
      </c>
      <c r="K84" s="30" t="s">
        <v>704</v>
      </c>
      <c r="L84" s="32"/>
    </row>
    <row r="85" spans="1:12" ht="26.25" x14ac:dyDescent="0.25">
      <c r="A85" s="6" t="str">
        <f t="shared" si="7"/>
        <v>Mas_03_03</v>
      </c>
      <c r="B85" s="7" t="s">
        <v>894</v>
      </c>
      <c r="C85" s="6" t="s">
        <v>862</v>
      </c>
      <c r="D85" s="6" t="str">
        <f>VLOOKUP(C85,RN_AN!$A$2:$B$100,2,FALSE)</f>
        <v>Administración de Mercancías</v>
      </c>
      <c r="E85" s="8" t="s">
        <v>49</v>
      </c>
      <c r="F85" s="6" t="str">
        <f>VLOOKUP(D85,RN_AN!$B$3:$C$100,2,FALSE)</f>
        <v>Administración de Catálogos y Registros Maestros</v>
      </c>
      <c r="G85" s="6" t="s">
        <v>94</v>
      </c>
      <c r="H85" s="6" t="s">
        <v>118</v>
      </c>
      <c r="I85" s="29">
        <v>42074</v>
      </c>
      <c r="J85" s="30">
        <v>0.6166666666666667</v>
      </c>
      <c r="K85" s="30" t="s">
        <v>704</v>
      </c>
      <c r="L85" s="32"/>
    </row>
    <row r="86" spans="1:12" ht="77.25" x14ac:dyDescent="0.25">
      <c r="A86" s="6" t="str">
        <f t="shared" si="7"/>
        <v>Mas_03_04</v>
      </c>
      <c r="B86" s="9" t="s">
        <v>895</v>
      </c>
      <c r="C86" s="11" t="s">
        <v>862</v>
      </c>
      <c r="D86" s="6" t="str">
        <f>VLOOKUP(C86,RN_AN!$A$2:$B$100,2,FALSE)</f>
        <v>Administración de Mercancías</v>
      </c>
      <c r="E86" s="10" t="s">
        <v>50</v>
      </c>
      <c r="F86" s="6" t="str">
        <f>VLOOKUP(D86,RN_AN!$B$3:$C$100,2,FALSE)</f>
        <v>Administración de Catálogos y Registros Maestros</v>
      </c>
      <c r="G86" s="6" t="s">
        <v>94</v>
      </c>
      <c r="H86" s="6" t="s">
        <v>341</v>
      </c>
      <c r="I86" s="29">
        <v>42074</v>
      </c>
      <c r="J86" s="30">
        <v>0.6166666666666667</v>
      </c>
      <c r="K86" s="30" t="s">
        <v>704</v>
      </c>
      <c r="L86" s="32"/>
    </row>
    <row r="87" spans="1:12" ht="39" x14ac:dyDescent="0.25">
      <c r="A87" s="6" t="str">
        <f t="shared" si="7"/>
        <v>Mas_03_05</v>
      </c>
      <c r="B87" s="7" t="s">
        <v>357</v>
      </c>
      <c r="C87" s="6" t="s">
        <v>862</v>
      </c>
      <c r="D87" s="6" t="str">
        <f>VLOOKUP(C87,RN_AN!$A$2:$B$100,2,FALSE)</f>
        <v>Administración de Mercancías</v>
      </c>
      <c r="E87" s="8" t="s">
        <v>51</v>
      </c>
      <c r="F87" s="6" t="str">
        <f>VLOOKUP(D87,RN_AN!$B$3:$C$100,2,FALSE)</f>
        <v>Administración de Catálogos y Registros Maestros</v>
      </c>
      <c r="G87" s="6" t="s">
        <v>94</v>
      </c>
      <c r="H87" s="6"/>
      <c r="I87" s="29">
        <v>42074</v>
      </c>
      <c r="J87" s="30">
        <v>0.6166666666666667</v>
      </c>
      <c r="K87" s="30" t="s">
        <v>704</v>
      </c>
      <c r="L87" s="32"/>
    </row>
    <row r="88" spans="1:12" ht="39" x14ac:dyDescent="0.25">
      <c r="A88" s="6" t="str">
        <f t="shared" si="7"/>
        <v>Mas_03_06</v>
      </c>
      <c r="B88" s="7" t="s">
        <v>861</v>
      </c>
      <c r="C88" s="6" t="s">
        <v>862</v>
      </c>
      <c r="D88" s="6" t="str">
        <f>VLOOKUP(C88,RN_AN!$A$2:$B$100,2,FALSE)</f>
        <v>Administración de Mercancías</v>
      </c>
      <c r="E88" s="8" t="s">
        <v>52</v>
      </c>
      <c r="F88" s="6" t="str">
        <f>VLOOKUP(D88,RN_AN!$B$3:$C$100,2,FALSE)</f>
        <v>Administración de Catálogos y Registros Maestros</v>
      </c>
      <c r="G88" s="6" t="s">
        <v>94</v>
      </c>
      <c r="H88" s="6"/>
      <c r="I88" s="29">
        <v>42110</v>
      </c>
      <c r="J88" s="30">
        <v>0.50624999999999998</v>
      </c>
      <c r="K88" s="6"/>
      <c r="L88" s="32"/>
    </row>
    <row r="89" spans="1:12" ht="51.75" x14ac:dyDescent="0.25">
      <c r="A89" s="6" t="str">
        <f t="shared" si="7"/>
        <v>Mas_03_8</v>
      </c>
      <c r="B89" s="7" t="s">
        <v>951</v>
      </c>
      <c r="C89" s="6" t="s">
        <v>862</v>
      </c>
      <c r="D89" s="6" t="str">
        <f>VLOOKUP(C89,RN_AN!$A$2:$B$100,2,FALSE)</f>
        <v>Administración de Mercancías</v>
      </c>
      <c r="E89" s="8">
        <f>VLOOKUP(D89,$N$4:$P$40,3,FALSE)</f>
        <v>8</v>
      </c>
      <c r="F89" s="6" t="str">
        <f>VLOOKUP(D89,RN_AN!$B$3:$C$100,2,FALSE)</f>
        <v>Administración de Catálogos y Registros Maestros</v>
      </c>
      <c r="G89" s="6" t="s">
        <v>94</v>
      </c>
      <c r="H89" s="6"/>
      <c r="I89" s="29">
        <v>42075</v>
      </c>
      <c r="J89" s="30">
        <v>0.37222222222222223</v>
      </c>
      <c r="K89" s="6"/>
      <c r="L89" s="32"/>
    </row>
    <row r="90" spans="1:12" ht="26.25" x14ac:dyDescent="0.25">
      <c r="A90" s="6" t="str">
        <f t="shared" si="7"/>
        <v>Mas_03_8</v>
      </c>
      <c r="B90" s="7" t="s">
        <v>938</v>
      </c>
      <c r="C90" s="6" t="s">
        <v>862</v>
      </c>
      <c r="D90" s="6" t="str">
        <f>VLOOKUP(C90,RN_AN!$A$2:$B$100,2,FALSE)</f>
        <v>Administración de Mercancías</v>
      </c>
      <c r="E90" s="8">
        <f>VLOOKUP(D90,$N$4:$P$40,3,FALSE)</f>
        <v>8</v>
      </c>
      <c r="F90" s="6" t="str">
        <f>VLOOKUP(D90,RN_AN!$B$3:$C$100,2,FALSE)</f>
        <v>Administración de Catálogos y Registros Maestros</v>
      </c>
      <c r="G90" s="6" t="s">
        <v>94</v>
      </c>
      <c r="H90" s="6"/>
      <c r="I90" s="29">
        <v>42075</v>
      </c>
      <c r="J90" s="30">
        <v>0.37708333333333338</v>
      </c>
      <c r="K90" s="6"/>
      <c r="L90" s="32"/>
    </row>
    <row r="91" spans="1:12" x14ac:dyDescent="0.25">
      <c r="A91" s="6" t="str">
        <f t="shared" si="7"/>
        <v>Mas_04_01</v>
      </c>
      <c r="B91" s="28" t="s">
        <v>770</v>
      </c>
      <c r="C91" s="6" t="s">
        <v>875</v>
      </c>
      <c r="D91" s="6" t="str">
        <f>VLOOKUP(C91,RN_AN!$A$2:$B$100,2,FALSE)</f>
        <v>Catálogos asociados a  documentos</v>
      </c>
      <c r="E91" s="8" t="s">
        <v>47</v>
      </c>
      <c r="F91" s="6" t="str">
        <f>VLOOKUP(D91,RN_AN!$B$3:$C$100,2,FALSE)</f>
        <v>Administración de Catálogos y Registros Maestros</v>
      </c>
      <c r="G91" s="6" t="s">
        <v>94</v>
      </c>
      <c r="H91" s="6"/>
      <c r="I91" s="29">
        <v>42074</v>
      </c>
      <c r="J91" s="30">
        <v>0.61736111111111114</v>
      </c>
      <c r="K91" s="6"/>
      <c r="L91" s="32"/>
    </row>
    <row r="92" spans="1:12" ht="51.75" x14ac:dyDescent="0.25">
      <c r="A92" s="6" t="str">
        <f t="shared" si="7"/>
        <v>Mas_04_02</v>
      </c>
      <c r="B92" s="7" t="s">
        <v>874</v>
      </c>
      <c r="C92" s="6" t="s">
        <v>875</v>
      </c>
      <c r="D92" s="6" t="str">
        <f>VLOOKUP(C92,RN_AN!$A$2:$B$100,2,FALSE)</f>
        <v>Catálogos asociados a  documentos</v>
      </c>
      <c r="E92" s="8" t="s">
        <v>48</v>
      </c>
      <c r="F92" s="6" t="str">
        <f>VLOOKUP(D92,RN_AN!$B$3:$C$100,2,FALSE)</f>
        <v>Administración de Catálogos y Registros Maestros</v>
      </c>
      <c r="G92" s="6" t="s">
        <v>94</v>
      </c>
      <c r="H92" s="6"/>
      <c r="I92" s="29">
        <v>42074</v>
      </c>
      <c r="J92" s="30">
        <v>0.61736111111111114</v>
      </c>
      <c r="K92" s="6"/>
      <c r="L92" s="32"/>
    </row>
    <row r="93" spans="1:12" ht="51.75" x14ac:dyDescent="0.25">
      <c r="A93" s="6" t="str">
        <f t="shared" si="7"/>
        <v>Mas_04_03</v>
      </c>
      <c r="B93" s="7" t="s">
        <v>887</v>
      </c>
      <c r="C93" s="6" t="s">
        <v>875</v>
      </c>
      <c r="D93" s="6" t="str">
        <f>VLOOKUP(C93,RN_AN!$A$2:$B$100,2,FALSE)</f>
        <v>Catálogos asociados a  documentos</v>
      </c>
      <c r="E93" s="8" t="s">
        <v>49</v>
      </c>
      <c r="F93" s="6" t="str">
        <f>VLOOKUP(D93,RN_AN!$B$3:$C$100,2,FALSE)</f>
        <v>Administración de Catálogos y Registros Maestros</v>
      </c>
      <c r="G93" s="6" t="s">
        <v>94</v>
      </c>
      <c r="H93" s="6"/>
      <c r="I93" s="29">
        <v>42074</v>
      </c>
      <c r="J93" s="30">
        <v>0.61736111111111114</v>
      </c>
      <c r="K93" s="6"/>
      <c r="L93" s="32"/>
    </row>
    <row r="94" spans="1:12" ht="26.25" x14ac:dyDescent="0.25">
      <c r="A94" s="6" t="str">
        <f t="shared" si="7"/>
        <v>Mas_04_04</v>
      </c>
      <c r="B94" s="7" t="s">
        <v>891</v>
      </c>
      <c r="C94" s="6" t="s">
        <v>875</v>
      </c>
      <c r="D94" s="6" t="str">
        <f>VLOOKUP(C94,RN_AN!$A$2:$B$100,2,FALSE)</f>
        <v>Catálogos asociados a  documentos</v>
      </c>
      <c r="E94" s="8" t="s">
        <v>50</v>
      </c>
      <c r="F94" s="6" t="str">
        <f>VLOOKUP(D94,RN_AN!$B$3:$C$100,2,FALSE)</f>
        <v>Administración de Catálogos y Registros Maestros</v>
      </c>
      <c r="G94" s="6" t="s">
        <v>94</v>
      </c>
      <c r="H94" s="6"/>
      <c r="I94" s="29">
        <v>42074</v>
      </c>
      <c r="J94" s="30">
        <v>0.61736111111111114</v>
      </c>
      <c r="K94" s="6"/>
      <c r="L94" s="32"/>
    </row>
    <row r="95" spans="1:12" ht="90" x14ac:dyDescent="0.25">
      <c r="A95" s="6" t="str">
        <f t="shared" si="7"/>
        <v>Mas_04_5</v>
      </c>
      <c r="B95" s="7" t="s">
        <v>926</v>
      </c>
      <c r="C95" s="6" t="s">
        <v>875</v>
      </c>
      <c r="D95" s="6" t="str">
        <f>VLOOKUP(C95,RN_AN!$A$2:$B$100,2,FALSE)</f>
        <v>Catálogos asociados a  documentos</v>
      </c>
      <c r="E95" s="8">
        <f>VLOOKUP(D95,$N$4:$P$40,3,FALSE)</f>
        <v>5</v>
      </c>
      <c r="F95" s="6" t="str">
        <f>VLOOKUP(D95,RN_AN!$B$3:$C$100,2,FALSE)</f>
        <v>Administración de Catálogos y Registros Maestros</v>
      </c>
      <c r="G95" s="6" t="s">
        <v>94</v>
      </c>
      <c r="H95" s="6"/>
      <c r="I95" s="29">
        <v>42074</v>
      </c>
      <c r="J95" s="30">
        <v>0.64722222222222225</v>
      </c>
      <c r="K95" s="6"/>
      <c r="L95" s="32"/>
    </row>
    <row r="96" spans="1:12" ht="51.75" x14ac:dyDescent="0.25">
      <c r="A96" s="6" t="str">
        <f t="shared" si="7"/>
        <v>Mov_01_01</v>
      </c>
      <c r="B96" s="7" t="s">
        <v>897</v>
      </c>
      <c r="C96" s="6" t="s">
        <v>898</v>
      </c>
      <c r="D96" s="6" t="str">
        <f>VLOOKUP(C96,RN_AN!$A$2:$B$100,2,FALSE)</f>
        <v>Entrada/Salida de Mercancías</v>
      </c>
      <c r="E96" s="8" t="s">
        <v>47</v>
      </c>
      <c r="F96" s="6" t="str">
        <f>VLOOKUP(D96,RN_AN!$B$3:$C$100,2,FALSE)</f>
        <v>Movimientos del almacén</v>
      </c>
      <c r="G96" s="6" t="s">
        <v>94</v>
      </c>
      <c r="H96" s="6"/>
      <c r="I96" s="29">
        <v>42074</v>
      </c>
      <c r="J96" s="30">
        <v>0.56527777777777777</v>
      </c>
      <c r="K96" s="30" t="s">
        <v>704</v>
      </c>
      <c r="L96" s="32" t="s">
        <v>1640</v>
      </c>
    </row>
    <row r="97" spans="1:12" ht="51.75" x14ac:dyDescent="0.25">
      <c r="A97" s="6" t="str">
        <f t="shared" si="7"/>
        <v>Mov_01_02</v>
      </c>
      <c r="B97" s="7" t="s">
        <v>899</v>
      </c>
      <c r="C97" s="6" t="s">
        <v>898</v>
      </c>
      <c r="D97" s="6" t="str">
        <f>VLOOKUP(C97,RN_AN!$A$2:$B$100,2,FALSE)</f>
        <v>Entrada/Salida de Mercancías</v>
      </c>
      <c r="E97" s="8" t="s">
        <v>48</v>
      </c>
      <c r="F97" s="6" t="str">
        <f>VLOOKUP(D97,RN_AN!$B$3:$C$100,2,FALSE)</f>
        <v>Movimientos del almacén</v>
      </c>
      <c r="G97" s="6" t="s">
        <v>94</v>
      </c>
      <c r="H97" s="6"/>
      <c r="I97" s="29">
        <v>42074</v>
      </c>
      <c r="J97" s="30">
        <v>0.56527777777777777</v>
      </c>
      <c r="K97" s="30" t="s">
        <v>704</v>
      </c>
      <c r="L97" s="32" t="s">
        <v>1665</v>
      </c>
    </row>
    <row r="98" spans="1:12" ht="102.75" x14ac:dyDescent="0.25">
      <c r="A98" s="6" t="str">
        <f t="shared" si="7"/>
        <v>Mov_02_01</v>
      </c>
      <c r="B98" s="7" t="s">
        <v>896</v>
      </c>
      <c r="C98" s="6" t="s">
        <v>843</v>
      </c>
      <c r="D98" s="6" t="str">
        <f>VLOOKUP(C98,RN_AN!$A$2:$B$100,2,FALSE)</f>
        <v>Traspaso de Mercancías</v>
      </c>
      <c r="E98" s="8" t="s">
        <v>47</v>
      </c>
      <c r="F98" s="6" t="str">
        <f>VLOOKUP(D98,RN_AN!$B$3:$C$100,2,FALSE)</f>
        <v>Movimientos del almacén</v>
      </c>
      <c r="G98" s="7" t="s">
        <v>94</v>
      </c>
      <c r="H98" s="7"/>
      <c r="I98" s="31">
        <v>42074</v>
      </c>
      <c r="J98" s="32">
        <v>0.61736111111111114</v>
      </c>
      <c r="K98" s="32"/>
      <c r="L98" s="32" t="s">
        <v>1677</v>
      </c>
    </row>
    <row r="99" spans="1:12" ht="39" x14ac:dyDescent="0.25">
      <c r="A99" s="6" t="str">
        <f t="shared" si="7"/>
        <v>Mov_02_02</v>
      </c>
      <c r="B99" s="7" t="s">
        <v>842</v>
      </c>
      <c r="C99" s="6" t="s">
        <v>843</v>
      </c>
      <c r="D99" s="6" t="str">
        <f>VLOOKUP(C99,RN_AN!$A$2:$B$100,2,FALSE)</f>
        <v>Traspaso de Mercancías</v>
      </c>
      <c r="E99" s="8" t="s">
        <v>48</v>
      </c>
      <c r="F99" s="6" t="str">
        <f>VLOOKUP(D99,RN_AN!$B$3:$C$100,2,FALSE)</f>
        <v>Movimientos del almacén</v>
      </c>
      <c r="G99" s="6" t="s">
        <v>94</v>
      </c>
      <c r="H99" s="6"/>
      <c r="I99" s="29">
        <v>42074</v>
      </c>
      <c r="J99" s="30">
        <v>0.61736111111111114</v>
      </c>
      <c r="K99" s="6"/>
      <c r="L99" s="32" t="s">
        <v>1677</v>
      </c>
    </row>
    <row r="100" spans="1:12" ht="39" x14ac:dyDescent="0.25">
      <c r="A100" s="6" t="str">
        <f t="shared" si="7"/>
        <v>OCP_01_01</v>
      </c>
      <c r="B100" s="9" t="s">
        <v>358</v>
      </c>
      <c r="C100" s="6" t="s">
        <v>901</v>
      </c>
      <c r="D100" s="6" t="str">
        <f>VLOOKUP(C100,RN_AN!$A$2:$B$100,2,FALSE)</f>
        <v>Administración de Proveedores</v>
      </c>
      <c r="E100" s="8" t="s">
        <v>47</v>
      </c>
      <c r="F100" s="6" t="str">
        <f>VLOOKUP(D100,RN_AN!$B$3:$C$100,2,FALSE)</f>
        <v>Órdenes de Compra y Proveedores</v>
      </c>
      <c r="G100" s="6" t="s">
        <v>94</v>
      </c>
      <c r="H100" s="6"/>
      <c r="I100" s="29">
        <v>42074</v>
      </c>
      <c r="J100" s="30">
        <v>0.56666666666666665</v>
      </c>
      <c r="K100" s="30" t="s">
        <v>704</v>
      </c>
      <c r="L100" s="32" t="s">
        <v>1638</v>
      </c>
    </row>
    <row r="101" spans="1:12" ht="26.25" x14ac:dyDescent="0.25">
      <c r="A101" s="6" t="str">
        <f t="shared" si="7"/>
        <v>OCP_01_02</v>
      </c>
      <c r="B101" s="7" t="s">
        <v>83</v>
      </c>
      <c r="C101" s="6" t="s">
        <v>901</v>
      </c>
      <c r="D101" s="6" t="str">
        <f>VLOOKUP(C101,RN_AN!$A$2:$B$100,2,FALSE)</f>
        <v>Administración de Proveedores</v>
      </c>
      <c r="E101" s="8" t="s">
        <v>48</v>
      </c>
      <c r="F101" s="6" t="str">
        <f>VLOOKUP(D101,RN_AN!$B$3:$C$100,2,FALSE)</f>
        <v>Órdenes de Compra y Proveedores</v>
      </c>
      <c r="G101" s="6" t="s">
        <v>94</v>
      </c>
      <c r="H101" s="6"/>
      <c r="I101" s="29">
        <v>42074</v>
      </c>
      <c r="J101" s="30">
        <v>0.61736111111111114</v>
      </c>
      <c r="K101" s="30" t="s">
        <v>704</v>
      </c>
      <c r="L101" s="32" t="s">
        <v>1638</v>
      </c>
    </row>
    <row r="102" spans="1:12" ht="26.25" x14ac:dyDescent="0.25">
      <c r="A102" s="6" t="str">
        <f t="shared" si="7"/>
        <v>OCP_02_01</v>
      </c>
      <c r="B102" s="9" t="s">
        <v>418</v>
      </c>
      <c r="C102" s="11" t="s">
        <v>906</v>
      </c>
      <c r="D102" s="6" t="str">
        <f>VLOOKUP(C102,RN_AN!$A$2:$B$100,2,FALSE)</f>
        <v>Elaboración de órdenes de Compra</v>
      </c>
      <c r="E102" s="10" t="s">
        <v>47</v>
      </c>
      <c r="F102" s="6" t="str">
        <f>VLOOKUP(D102,RN_AN!$B$3:$C$100,2,FALSE)</f>
        <v>Órdenes de Compra y Proveedores</v>
      </c>
      <c r="G102" s="6" t="s">
        <v>94</v>
      </c>
      <c r="H102" s="6"/>
      <c r="I102" s="29">
        <v>42074</v>
      </c>
      <c r="J102" s="30">
        <v>0.61736111111111114</v>
      </c>
      <c r="K102" s="30" t="s">
        <v>704</v>
      </c>
      <c r="L102" s="32" t="s">
        <v>1637</v>
      </c>
    </row>
    <row r="103" spans="1:12" ht="64.5" x14ac:dyDescent="0.25">
      <c r="A103" s="6" t="str">
        <f t="shared" si="7"/>
        <v>OCP_03_01</v>
      </c>
      <c r="B103" s="7" t="s">
        <v>903</v>
      </c>
      <c r="C103" s="6" t="s">
        <v>904</v>
      </c>
      <c r="D103" s="6" t="str">
        <f>VLOOKUP(C103,RN_AN!$A$2:$B$100,2,FALSE)</f>
        <v>Administración de Relación Proveedor - Mercancía</v>
      </c>
      <c r="E103" s="8" t="s">
        <v>47</v>
      </c>
      <c r="F103" s="6" t="str">
        <f>VLOOKUP(D103,RN_AN!$B$3:$C$100,2,FALSE)</f>
        <v>Órdenes de Compra y Proveedores</v>
      </c>
      <c r="G103" s="6" t="s">
        <v>94</v>
      </c>
      <c r="H103" s="6" t="s">
        <v>416</v>
      </c>
      <c r="I103" s="29">
        <v>42074</v>
      </c>
      <c r="J103" s="30">
        <v>0.61736111111111114</v>
      </c>
      <c r="K103" s="30"/>
      <c r="L103" s="32" t="s">
        <v>1521</v>
      </c>
    </row>
    <row r="104" spans="1:12" ht="102.75" x14ac:dyDescent="0.25">
      <c r="A104" s="6" t="str">
        <f t="shared" ref="A104:A135" si="8">CONCATENATE(C104,"_",E104)</f>
        <v>OCP_03_02</v>
      </c>
      <c r="B104" s="9" t="s">
        <v>905</v>
      </c>
      <c r="C104" s="6" t="s">
        <v>904</v>
      </c>
      <c r="D104" s="6" t="str">
        <f>VLOOKUP(C104,RN_AN!$A$2:$B$100,2,FALSE)</f>
        <v>Administración de Relación Proveedor - Mercancía</v>
      </c>
      <c r="E104" s="8" t="s">
        <v>48</v>
      </c>
      <c r="F104" s="6" t="str">
        <f>VLOOKUP(D104,RN_AN!$B$3:$C$100,2,FALSE)</f>
        <v>Órdenes de Compra y Proveedores</v>
      </c>
      <c r="G104" s="6" t="s">
        <v>94</v>
      </c>
      <c r="H104" s="6" t="s">
        <v>115</v>
      </c>
      <c r="I104" s="29">
        <v>42074</v>
      </c>
      <c r="J104" s="30">
        <v>0.5708333333333333</v>
      </c>
      <c r="K104" s="30" t="s">
        <v>704</v>
      </c>
      <c r="L104" s="32" t="s">
        <v>1521</v>
      </c>
    </row>
    <row r="105" spans="1:12" ht="51.75" x14ac:dyDescent="0.25">
      <c r="A105" s="6" t="str">
        <f t="shared" si="8"/>
        <v>OCP_04_01</v>
      </c>
      <c r="B105" s="9" t="s">
        <v>417</v>
      </c>
      <c r="C105" s="11" t="s">
        <v>954</v>
      </c>
      <c r="D105" s="6" t="str">
        <f>VLOOKUP(C105,RN_AN!$A$2:$B$100,2,FALSE)</f>
        <v>Elaboración de Planes de Compra</v>
      </c>
      <c r="E105" s="10" t="s">
        <v>47</v>
      </c>
      <c r="F105" s="6" t="str">
        <f>VLOOKUP(D105,RN_AN!$B$3:$C$100,2,FALSE)</f>
        <v>Órdenes de Compra y Proveedores</v>
      </c>
      <c r="G105" s="6" t="s">
        <v>94</v>
      </c>
      <c r="H105" s="6"/>
      <c r="I105" s="29">
        <v>42075</v>
      </c>
      <c r="J105" s="30">
        <v>0.375</v>
      </c>
      <c r="K105" s="30" t="s">
        <v>704</v>
      </c>
      <c r="L105" s="32" t="s">
        <v>1644</v>
      </c>
    </row>
    <row r="106" spans="1:12" ht="128.25" x14ac:dyDescent="0.25">
      <c r="A106" s="6" t="str">
        <f t="shared" si="8"/>
        <v>OCP_04_5</v>
      </c>
      <c r="B106" s="7" t="s">
        <v>952</v>
      </c>
      <c r="C106" s="6" t="s">
        <v>954</v>
      </c>
      <c r="D106" s="6" t="str">
        <f>VLOOKUP(C106,RN_AN!$A$2:$B$100,2,FALSE)</f>
        <v>Elaboración de Planes de Compra</v>
      </c>
      <c r="E106" s="8">
        <f>VLOOKUP(D106,$N$4:$P$40,3,FALSE)</f>
        <v>5</v>
      </c>
      <c r="F106" s="6" t="str">
        <f>VLOOKUP(D106,RN_AN!$B$3:$C$100,2,FALSE)</f>
        <v>Órdenes de Compra y Proveedores</v>
      </c>
      <c r="G106" s="6" t="s">
        <v>94</v>
      </c>
      <c r="H106" s="6"/>
      <c r="I106" s="29">
        <v>42075</v>
      </c>
      <c r="J106" s="30">
        <v>0.375</v>
      </c>
      <c r="K106" s="6"/>
      <c r="L106" s="32" t="s">
        <v>1643</v>
      </c>
    </row>
    <row r="107" spans="1:12" ht="51.75" x14ac:dyDescent="0.25">
      <c r="A107" s="6" t="str">
        <f t="shared" si="8"/>
        <v>OCP_04_5</v>
      </c>
      <c r="B107" s="7" t="s">
        <v>956</v>
      </c>
      <c r="C107" s="6" t="s">
        <v>954</v>
      </c>
      <c r="D107" s="6" t="str">
        <f>VLOOKUP(C107,RN_AN!$A$2:$B$100,2,FALSE)</f>
        <v>Elaboración de Planes de Compra</v>
      </c>
      <c r="E107" s="8">
        <f>VLOOKUP(D107,$N$4:$P$40,3,FALSE)</f>
        <v>5</v>
      </c>
      <c r="F107" s="6" t="str">
        <f>VLOOKUP(D107,RN_AN!$B$3:$C$100,2,FALSE)</f>
        <v>Órdenes de Compra y Proveedores</v>
      </c>
      <c r="G107" s="6" t="s">
        <v>94</v>
      </c>
      <c r="H107" s="6"/>
      <c r="I107" s="29">
        <v>42075</v>
      </c>
      <c r="J107" s="30">
        <v>0.39374999999999999</v>
      </c>
      <c r="K107" s="6"/>
      <c r="L107" s="32" t="s">
        <v>1643</v>
      </c>
    </row>
    <row r="108" spans="1:12" x14ac:dyDescent="0.25">
      <c r="A108" s="6" t="str">
        <f t="shared" si="8"/>
        <v>OCP_04_5</v>
      </c>
      <c r="B108" s="7" t="s">
        <v>935</v>
      </c>
      <c r="C108" s="6" t="s">
        <v>954</v>
      </c>
      <c r="D108" s="6" t="str">
        <f>VLOOKUP(C108,RN_AN!$A$2:$B$100,2,FALSE)</f>
        <v>Elaboración de Planes de Compra</v>
      </c>
      <c r="E108" s="8">
        <f>VLOOKUP(D108,$N$4:$P$40,3,FALSE)</f>
        <v>5</v>
      </c>
      <c r="F108" s="6" t="str">
        <f>VLOOKUP(D108,RN_AN!$B$3:$C$100,2,FALSE)</f>
        <v>Órdenes de Compra y Proveedores</v>
      </c>
      <c r="G108" s="6" t="s">
        <v>94</v>
      </c>
      <c r="H108" s="6"/>
      <c r="I108" s="29">
        <v>42075</v>
      </c>
      <c r="J108" s="30">
        <v>0.39374999999999999</v>
      </c>
      <c r="K108" s="6"/>
      <c r="L108" s="32"/>
    </row>
    <row r="109" spans="1:12" ht="102.75" hidden="1" x14ac:dyDescent="0.25">
      <c r="A109" s="6" t="str">
        <f t="shared" si="8"/>
        <v>Pa_01_01</v>
      </c>
      <c r="B109" s="7" t="s">
        <v>74</v>
      </c>
      <c r="C109" s="6" t="s">
        <v>75</v>
      </c>
      <c r="D109" s="6" t="e">
        <f>VLOOKUP(C109,RN_AN!$A$2:$B$100,2,FALSE)</f>
        <v>#N/A</v>
      </c>
      <c r="E109" s="8" t="s">
        <v>47</v>
      </c>
      <c r="F109" s="6" t="e">
        <f>VLOOKUP(D109,RN_AN!$B$3:$C$100,2,FALSE)</f>
        <v>#N/A</v>
      </c>
      <c r="G109" s="6" t="s">
        <v>91</v>
      </c>
      <c r="H109" s="6" t="s">
        <v>900</v>
      </c>
      <c r="I109" s="29">
        <v>42074</v>
      </c>
      <c r="J109" s="30">
        <v>0.56597222222222221</v>
      </c>
      <c r="K109" s="30" t="s">
        <v>704</v>
      </c>
      <c r="L109" s="30" t="str">
        <f>VLOOKUP(A109,UI!$L$3:$M$998,2,FALSE)</f>
        <v>UI_01_Pa_01</v>
      </c>
    </row>
    <row r="110" spans="1:12" hidden="1" x14ac:dyDescent="0.25">
      <c r="A110" s="6" t="str">
        <f t="shared" si="8"/>
        <v>Pa_01_02</v>
      </c>
      <c r="B110" s="7" t="s">
        <v>72</v>
      </c>
      <c r="C110" s="6" t="s">
        <v>75</v>
      </c>
      <c r="D110" s="6" t="e">
        <f>VLOOKUP(C110,RN_AN!$A$2:$B$100,2,FALSE)</f>
        <v>#N/A</v>
      </c>
      <c r="E110" s="8" t="s">
        <v>48</v>
      </c>
      <c r="F110" s="6" t="e">
        <f>VLOOKUP(D110,RN_AN!$B$3:$C$100,2,FALSE)</f>
        <v>#N/A</v>
      </c>
      <c r="G110" s="6" t="s">
        <v>91</v>
      </c>
      <c r="H110" s="6"/>
      <c r="I110" s="29">
        <v>42074</v>
      </c>
      <c r="J110" s="30">
        <v>0.56597222222222221</v>
      </c>
      <c r="K110" s="30" t="s">
        <v>704</v>
      </c>
      <c r="L110" s="30" t="str">
        <f>VLOOKUP(A110,UI!$L$3:$M$998,2,FALSE)</f>
        <v>UI_01_Pa_01</v>
      </c>
    </row>
    <row r="111" spans="1:12" ht="26.25" hidden="1" x14ac:dyDescent="0.25">
      <c r="A111" s="6" t="str">
        <f t="shared" si="8"/>
        <v>Pe_01_</v>
      </c>
      <c r="B111" s="9" t="s">
        <v>59</v>
      </c>
      <c r="C111" s="6" t="s">
        <v>66</v>
      </c>
      <c r="D111" s="6" t="e">
        <f>VLOOKUP(C111,RN_AN!$A$2:$B$100,2,FALSE)</f>
        <v>#N/A</v>
      </c>
      <c r="E111" s="10"/>
      <c r="F111" s="6" t="e">
        <f>VLOOKUP(D111,RN_AN!$B$3:$C$100,2,FALSE)</f>
        <v>#N/A</v>
      </c>
      <c r="G111" s="6" t="s">
        <v>91</v>
      </c>
      <c r="H111" s="6" t="s">
        <v>419</v>
      </c>
      <c r="I111" s="29">
        <v>42072</v>
      </c>
      <c r="J111" s="30">
        <v>0.53333333333333333</v>
      </c>
      <c r="K111" s="30"/>
      <c r="L111" s="30"/>
    </row>
    <row r="112" spans="1:12" ht="39" hidden="1" x14ac:dyDescent="0.25">
      <c r="A112" s="6" t="str">
        <f t="shared" si="8"/>
        <v>Re_01_03</v>
      </c>
      <c r="B112" s="7" t="s">
        <v>69</v>
      </c>
      <c r="C112" s="6" t="s">
        <v>68</v>
      </c>
      <c r="D112" s="6" t="e">
        <f>VLOOKUP(C112,RN_AN!$A$2:$B$100,2,FALSE)</f>
        <v>#N/A</v>
      </c>
      <c r="E112" s="8" t="s">
        <v>49</v>
      </c>
      <c r="F112" s="6" t="e">
        <f>VLOOKUP(D112,RN_AN!$B$3:$C$100,2,FALSE)</f>
        <v>#N/A</v>
      </c>
      <c r="G112" s="6" t="s">
        <v>91</v>
      </c>
      <c r="H112" s="6" t="s">
        <v>909</v>
      </c>
      <c r="I112" s="29">
        <v>42074</v>
      </c>
      <c r="J112" s="30">
        <v>0.57847222222222217</v>
      </c>
      <c r="K112" s="30" t="s">
        <v>704</v>
      </c>
      <c r="L112" s="30" t="e">
        <f>VLOOKUP(A112,UI!$L$3:$M$998,2,FALSE)</f>
        <v>#N/A</v>
      </c>
    </row>
    <row r="113" spans="1:12" ht="90" x14ac:dyDescent="0.25">
      <c r="A113" s="6" t="str">
        <f t="shared" si="8"/>
        <v>OCP_04_5</v>
      </c>
      <c r="B113" s="7" t="s">
        <v>936</v>
      </c>
      <c r="C113" s="6" t="s">
        <v>954</v>
      </c>
      <c r="D113" s="6" t="str">
        <f>VLOOKUP(C113,RN_AN!$A$2:$B$100,2,FALSE)</f>
        <v>Elaboración de Planes de Compra</v>
      </c>
      <c r="E113" s="8">
        <f>VLOOKUP(D113,$N$4:$P$40,3,FALSE)</f>
        <v>5</v>
      </c>
      <c r="F113" s="6" t="str">
        <f>VLOOKUP(D113,RN_AN!$B$3:$C$100,2,FALSE)</f>
        <v>Órdenes de Compra y Proveedores</v>
      </c>
      <c r="G113" s="6" t="s">
        <v>94</v>
      </c>
      <c r="H113" s="6"/>
      <c r="I113" s="29">
        <v>42075</v>
      </c>
      <c r="J113" s="30">
        <v>0.37708333333333338</v>
      </c>
      <c r="K113" s="6"/>
      <c r="L113" s="32" t="s">
        <v>1643</v>
      </c>
    </row>
    <row r="114" spans="1:12" ht="77.25" x14ac:dyDescent="0.25">
      <c r="A114" s="6" t="str">
        <f t="shared" si="8"/>
        <v>Rec_01_01</v>
      </c>
      <c r="B114" s="7" t="s">
        <v>67</v>
      </c>
      <c r="C114" s="6" t="s">
        <v>907</v>
      </c>
      <c r="D114" s="6" t="str">
        <f>VLOOKUP(C114,RN_AN!$A$2:$B$100,2,FALSE)</f>
        <v>Administración de Ordenes de Recepción</v>
      </c>
      <c r="E114" s="8" t="s">
        <v>47</v>
      </c>
      <c r="F114" s="6" t="str">
        <f>VLOOKUP(D114,RN_AN!$B$3:$C$100,2,FALSE)</f>
        <v>Recepción de Mercancías al Almacén</v>
      </c>
      <c r="G114" s="6" t="s">
        <v>94</v>
      </c>
      <c r="H114" s="6"/>
      <c r="I114" s="29">
        <v>42074</v>
      </c>
      <c r="J114" s="30">
        <v>0.57708333333333328</v>
      </c>
      <c r="K114" s="30" t="s">
        <v>704</v>
      </c>
      <c r="L114" s="32" t="s">
        <v>1639</v>
      </c>
    </row>
    <row r="115" spans="1:12" ht="153.75" x14ac:dyDescent="0.25">
      <c r="A115" s="6" t="str">
        <f t="shared" si="8"/>
        <v>Rec_01_02</v>
      </c>
      <c r="B115" s="7" t="s">
        <v>908</v>
      </c>
      <c r="C115" s="6" t="s">
        <v>907</v>
      </c>
      <c r="D115" s="6" t="str">
        <f>VLOOKUP(C115,RN_AN!$A$2:$B$100,2,FALSE)</f>
        <v>Administración de Ordenes de Recepción</v>
      </c>
      <c r="E115" s="8" t="s">
        <v>48</v>
      </c>
      <c r="F115" s="6" t="str">
        <f>VLOOKUP(D115,RN_AN!$B$3:$C$100,2,FALSE)</f>
        <v>Recepción de Mercancías al Almacén</v>
      </c>
      <c r="G115" s="6" t="s">
        <v>94</v>
      </c>
      <c r="H115" s="6"/>
      <c r="I115" s="29">
        <v>42074</v>
      </c>
      <c r="J115" s="30">
        <v>0.57777777777777783</v>
      </c>
      <c r="K115" s="30" t="s">
        <v>704</v>
      </c>
      <c r="L115" s="32" t="s">
        <v>1639</v>
      </c>
    </row>
    <row r="116" spans="1:12" ht="51.75" x14ac:dyDescent="0.25">
      <c r="A116" s="6" t="str">
        <f t="shared" si="8"/>
        <v>Rec_01_03</v>
      </c>
      <c r="B116" s="7" t="s">
        <v>117</v>
      </c>
      <c r="C116" s="6" t="s">
        <v>907</v>
      </c>
      <c r="D116" s="6" t="str">
        <f>VLOOKUP(C116,RN_AN!$A$2:$B$100,2,FALSE)</f>
        <v>Administración de Ordenes de Recepción</v>
      </c>
      <c r="E116" s="8" t="s">
        <v>49</v>
      </c>
      <c r="F116" s="6" t="str">
        <f>VLOOKUP(D116,RN_AN!$B$3:$C$100,2,FALSE)</f>
        <v>Recepción de Mercancías al Almacén</v>
      </c>
      <c r="G116" s="6" t="s">
        <v>94</v>
      </c>
      <c r="H116" s="6" t="s">
        <v>116</v>
      </c>
      <c r="I116" s="29">
        <v>42074</v>
      </c>
      <c r="J116" s="30">
        <v>0.61736111111111114</v>
      </c>
      <c r="K116" s="30" t="s">
        <v>704</v>
      </c>
      <c r="L116" s="32" t="s">
        <v>1639</v>
      </c>
    </row>
    <row r="117" spans="1:12" hidden="1" x14ac:dyDescent="0.25">
      <c r="A117" s="6" t="str">
        <f t="shared" si="8"/>
        <v>Rec_01_05</v>
      </c>
      <c r="B117" s="7" t="s">
        <v>73</v>
      </c>
      <c r="C117" s="6" t="s">
        <v>907</v>
      </c>
      <c r="D117" s="6" t="str">
        <f>VLOOKUP(C117,RN_AN!$A$2:$B$100,2,FALSE)</f>
        <v>Administración de Ordenes de Recepción</v>
      </c>
      <c r="E117" s="8" t="s">
        <v>51</v>
      </c>
      <c r="F117" s="6" t="str">
        <f>VLOOKUP(D117,RN_AN!$B$3:$C$100,2,FALSE)</f>
        <v>Recepción de Mercancías al Almacén</v>
      </c>
      <c r="G117" s="6" t="s">
        <v>91</v>
      </c>
      <c r="H117" s="6" t="s">
        <v>419</v>
      </c>
      <c r="I117" s="29">
        <v>42074</v>
      </c>
      <c r="J117" s="30">
        <v>0.59236111111111112</v>
      </c>
      <c r="K117" s="30" t="s">
        <v>704</v>
      </c>
      <c r="L117" s="30" t="e">
        <f>VLOOKUP(A117,UI!$L$3:$M$998,2,FALSE)</f>
        <v>#N/A</v>
      </c>
    </row>
    <row r="118" spans="1:12" ht="51.75" x14ac:dyDescent="0.25">
      <c r="A118" s="6" t="str">
        <f t="shared" si="8"/>
        <v>Rec_01_04</v>
      </c>
      <c r="B118" s="7" t="s">
        <v>922</v>
      </c>
      <c r="C118" s="6" t="s">
        <v>907</v>
      </c>
      <c r="D118" s="6" t="str">
        <f>VLOOKUP(C118,RN_AN!$A$2:$B$100,2,FALSE)</f>
        <v>Administración de Ordenes de Recepción</v>
      </c>
      <c r="E118" s="8" t="s">
        <v>50</v>
      </c>
      <c r="F118" s="6" t="str">
        <f>VLOOKUP(D118,RN_AN!$B$3:$C$100,2,FALSE)</f>
        <v>Recepción de Mercancías al Almacén</v>
      </c>
      <c r="G118" s="6" t="s">
        <v>94</v>
      </c>
      <c r="H118" s="6"/>
      <c r="I118" s="29">
        <v>42074</v>
      </c>
      <c r="J118" s="30">
        <v>0.61736111111111114</v>
      </c>
      <c r="K118" s="6"/>
      <c r="L118" s="32" t="s">
        <v>1639</v>
      </c>
    </row>
    <row r="119" spans="1:12" ht="77.25" x14ac:dyDescent="0.25">
      <c r="A119" s="6" t="str">
        <f t="shared" si="8"/>
        <v>Rec_02_01</v>
      </c>
      <c r="B119" s="7" t="s">
        <v>70</v>
      </c>
      <c r="C119" s="6" t="s">
        <v>911</v>
      </c>
      <c r="D119" s="6" t="str">
        <f>VLOOKUP(C119,RN_AN!$A$2:$B$100,2,FALSE)</f>
        <v>Checklist de entrada</v>
      </c>
      <c r="E119" s="8" t="s">
        <v>47</v>
      </c>
      <c r="F119" s="6" t="str">
        <f>VLOOKUP(D119,RN_AN!$B$3:$C$100,2,FALSE)</f>
        <v>Recepción de Mercancías al Almacén</v>
      </c>
      <c r="G119" s="6" t="s">
        <v>94</v>
      </c>
      <c r="H119" s="6"/>
      <c r="I119" s="29">
        <v>42074</v>
      </c>
      <c r="J119" s="30">
        <v>0.60972222222222217</v>
      </c>
      <c r="K119" s="30" t="s">
        <v>704</v>
      </c>
      <c r="L119" s="32" t="s">
        <v>1639</v>
      </c>
    </row>
    <row r="120" spans="1:12" ht="64.5" x14ac:dyDescent="0.25">
      <c r="A120" s="6" t="str">
        <f t="shared" si="8"/>
        <v>ReNo_01_01</v>
      </c>
      <c r="B120" s="7" t="s">
        <v>915</v>
      </c>
      <c r="C120" s="6" t="s">
        <v>916</v>
      </c>
      <c r="D120" s="6" t="str">
        <f>VLOOKUP(C120,RN_AN!$A$2:$B$100,2,FALSE)</f>
        <v>Reglas de Negocio para Documentos</v>
      </c>
      <c r="E120" s="8" t="s">
        <v>47</v>
      </c>
      <c r="F120" s="6" t="str">
        <f>VLOOKUP(D120,RN_AN!$B$3:$C$100,2,FALSE)</f>
        <v>Reglas de Negocio</v>
      </c>
      <c r="G120" s="6" t="s">
        <v>94</v>
      </c>
      <c r="H120" s="6"/>
      <c r="I120" s="29">
        <v>42074</v>
      </c>
      <c r="J120" s="30">
        <v>0.61805555555555558</v>
      </c>
      <c r="K120" s="30" t="s">
        <v>704</v>
      </c>
      <c r="L120" s="32"/>
    </row>
    <row r="121" spans="1:12" ht="39" x14ac:dyDescent="0.25">
      <c r="A121" s="6" t="str">
        <f t="shared" si="8"/>
        <v>ReNo_01_02</v>
      </c>
      <c r="B121" s="7" t="s">
        <v>917</v>
      </c>
      <c r="C121" s="6" t="s">
        <v>916</v>
      </c>
      <c r="D121" s="6" t="str">
        <f>VLOOKUP(C121,RN_AN!$A$2:$B$100,2,FALSE)</f>
        <v>Reglas de Negocio para Documentos</v>
      </c>
      <c r="E121" s="8" t="s">
        <v>48</v>
      </c>
      <c r="F121" s="6" t="str">
        <f>VLOOKUP(D121,RN_AN!$B$3:$C$100,2,FALSE)</f>
        <v>Reglas de Negocio</v>
      </c>
      <c r="G121" s="6" t="s">
        <v>94</v>
      </c>
      <c r="H121" s="6" t="s">
        <v>910</v>
      </c>
      <c r="I121" s="29">
        <v>42074</v>
      </c>
      <c r="J121" s="30">
        <v>0.61805555555555558</v>
      </c>
      <c r="K121" s="30" t="s">
        <v>704</v>
      </c>
      <c r="L121" s="32"/>
    </row>
    <row r="122" spans="1:12" ht="64.5" x14ac:dyDescent="0.25">
      <c r="A122" s="6" t="str">
        <f t="shared" si="8"/>
        <v>ReNo_01_03</v>
      </c>
      <c r="B122" s="7" t="s">
        <v>919</v>
      </c>
      <c r="C122" s="6" t="s">
        <v>916</v>
      </c>
      <c r="D122" s="6" t="str">
        <f>VLOOKUP(C122,RN_AN!$A$2:$B$100,2,FALSE)</f>
        <v>Reglas de Negocio para Documentos</v>
      </c>
      <c r="E122" s="8" t="s">
        <v>49</v>
      </c>
      <c r="F122" s="6" t="str">
        <f>VLOOKUP(D122,RN_AN!$B$3:$C$100,2,FALSE)</f>
        <v>Reglas de Negocio</v>
      </c>
      <c r="G122" s="6" t="s">
        <v>94</v>
      </c>
      <c r="H122" s="6"/>
      <c r="I122" s="29">
        <v>42074</v>
      </c>
      <c r="J122" s="30">
        <v>0.61805555555555558</v>
      </c>
      <c r="K122" s="30" t="s">
        <v>704</v>
      </c>
      <c r="L122" s="32"/>
    </row>
    <row r="123" spans="1:12" ht="39" x14ac:dyDescent="0.25">
      <c r="A123" s="6" t="str">
        <f t="shared" si="8"/>
        <v>ReNo_01_04</v>
      </c>
      <c r="B123" s="7" t="s">
        <v>918</v>
      </c>
      <c r="C123" s="6" t="s">
        <v>916</v>
      </c>
      <c r="D123" s="6" t="str">
        <f>VLOOKUP(C123,RN_AN!$A$2:$B$100,2,FALSE)</f>
        <v>Reglas de Negocio para Documentos</v>
      </c>
      <c r="E123" s="8" t="s">
        <v>50</v>
      </c>
      <c r="F123" s="6" t="str">
        <f>VLOOKUP(D123,RN_AN!$B$3:$C$100,2,FALSE)</f>
        <v>Reglas de Negocio</v>
      </c>
      <c r="G123" s="6" t="s">
        <v>94</v>
      </c>
      <c r="H123" s="6"/>
      <c r="I123" s="29">
        <v>42074</v>
      </c>
      <c r="J123" s="30">
        <v>0.61805555555555558</v>
      </c>
      <c r="K123" s="6"/>
      <c r="L123" s="32"/>
    </row>
    <row r="124" spans="1:12" ht="51.75" x14ac:dyDescent="0.25">
      <c r="A124" s="6" t="str">
        <f t="shared" si="8"/>
        <v>ReNo_01_5</v>
      </c>
      <c r="B124" s="7" t="s">
        <v>939</v>
      </c>
      <c r="C124" s="6" t="s">
        <v>916</v>
      </c>
      <c r="D124" s="6" t="str">
        <f>VLOOKUP(C124,RN_AN!$A$2:$B$100,2,FALSE)</f>
        <v>Reglas de Negocio para Documentos</v>
      </c>
      <c r="E124" s="8">
        <f>VLOOKUP(D124,$N$4:$P$40,3,FALSE)</f>
        <v>5</v>
      </c>
      <c r="F124" s="6" t="str">
        <f>VLOOKUP(D124,RN_AN!$B$3:$C$100,2,FALSE)</f>
        <v>Reglas de Negocio</v>
      </c>
      <c r="G124" s="6" t="s">
        <v>94</v>
      </c>
      <c r="H124" s="6"/>
      <c r="I124" s="29">
        <v>42074</v>
      </c>
      <c r="J124" s="30">
        <v>0.83124999999999993</v>
      </c>
      <c r="K124" s="6"/>
      <c r="L124" s="32"/>
    </row>
    <row r="125" spans="1:12" ht="64.5" x14ac:dyDescent="0.25">
      <c r="A125" s="6" t="str">
        <f t="shared" si="8"/>
        <v>Rep_01_01</v>
      </c>
      <c r="B125" s="7" t="s">
        <v>122</v>
      </c>
      <c r="C125" s="6" t="s">
        <v>126</v>
      </c>
      <c r="D125" s="6" t="str">
        <f>VLOOKUP(C125,RN_AN!$A$2:$B$100,2,FALSE)</f>
        <v>Análisis de Costos</v>
      </c>
      <c r="E125" s="8" t="s">
        <v>47</v>
      </c>
      <c r="F125" s="6" t="str">
        <f>VLOOKUP(D125,RN_AN!$B$3:$C$100,2,FALSE)</f>
        <v>Reporteo</v>
      </c>
      <c r="G125" s="6" t="s">
        <v>94</v>
      </c>
      <c r="H125" s="6"/>
      <c r="I125" s="29">
        <v>42065</v>
      </c>
      <c r="J125" s="30">
        <v>0.58888888888888891</v>
      </c>
      <c r="K125" s="30"/>
      <c r="L125" s="32"/>
    </row>
    <row r="126" spans="1:12" ht="77.25" x14ac:dyDescent="0.25">
      <c r="A126" s="6" t="str">
        <f t="shared" si="8"/>
        <v>Rep_01_02</v>
      </c>
      <c r="B126" s="7" t="s">
        <v>123</v>
      </c>
      <c r="C126" s="6" t="s">
        <v>126</v>
      </c>
      <c r="D126" s="6" t="str">
        <f>VLOOKUP(C126,RN_AN!$A$2:$B$100,2,FALSE)</f>
        <v>Análisis de Costos</v>
      </c>
      <c r="E126" s="8" t="s">
        <v>48</v>
      </c>
      <c r="F126" s="6" t="str">
        <f>VLOOKUP(D126,RN_AN!$B$3:$C$100,2,FALSE)</f>
        <v>Reporteo</v>
      </c>
      <c r="G126" s="6" t="s">
        <v>94</v>
      </c>
      <c r="H126" s="6"/>
      <c r="I126" s="29">
        <v>42065</v>
      </c>
      <c r="J126" s="30">
        <v>0.58888888888888891</v>
      </c>
      <c r="K126" s="30"/>
      <c r="L126" s="32"/>
    </row>
    <row r="127" spans="1:12" ht="77.25" x14ac:dyDescent="0.25">
      <c r="A127" s="6" t="str">
        <f t="shared" si="8"/>
        <v>Rep_01_03</v>
      </c>
      <c r="B127" s="7" t="s">
        <v>124</v>
      </c>
      <c r="C127" s="6" t="s">
        <v>126</v>
      </c>
      <c r="D127" s="6" t="str">
        <f>VLOOKUP(C127,RN_AN!$A$2:$B$100,2,FALSE)</f>
        <v>Análisis de Costos</v>
      </c>
      <c r="E127" s="8" t="s">
        <v>49</v>
      </c>
      <c r="F127" s="6" t="str">
        <f>VLOOKUP(D127,RN_AN!$B$3:$C$100,2,FALSE)</f>
        <v>Reporteo</v>
      </c>
      <c r="G127" s="6" t="s">
        <v>94</v>
      </c>
      <c r="H127" s="6"/>
      <c r="I127" s="29">
        <v>42065</v>
      </c>
      <c r="J127" s="30">
        <v>0.58819444444444446</v>
      </c>
      <c r="K127" s="30"/>
      <c r="L127" s="32"/>
    </row>
    <row r="128" spans="1:12" ht="39" x14ac:dyDescent="0.25">
      <c r="A128" s="6" t="str">
        <f t="shared" si="8"/>
        <v>Rep_01_04</v>
      </c>
      <c r="B128" s="7" t="s">
        <v>125</v>
      </c>
      <c r="C128" s="6" t="s">
        <v>126</v>
      </c>
      <c r="D128" s="6" t="str">
        <f>VLOOKUP(C128,RN_AN!$A$2:$B$100,2,FALSE)</f>
        <v>Análisis de Costos</v>
      </c>
      <c r="E128" s="8" t="s">
        <v>50</v>
      </c>
      <c r="F128" s="6" t="str">
        <f>VLOOKUP(D128,RN_AN!$B$3:$C$100,2,FALSE)</f>
        <v>Reporteo</v>
      </c>
      <c r="G128" s="6" t="s">
        <v>94</v>
      </c>
      <c r="H128" s="6"/>
      <c r="I128" s="29">
        <v>42065</v>
      </c>
      <c r="J128" s="30">
        <v>0.58888888888888891</v>
      </c>
      <c r="K128" s="30"/>
      <c r="L128" s="32"/>
    </row>
    <row r="129" spans="1:12" ht="39" x14ac:dyDescent="0.25">
      <c r="A129" s="6" t="str">
        <f t="shared" si="8"/>
        <v>Rep_02_01</v>
      </c>
      <c r="B129" s="7" t="s">
        <v>80</v>
      </c>
      <c r="C129" s="6" t="s">
        <v>128</v>
      </c>
      <c r="D129" s="6" t="str">
        <f>VLOOKUP(C129,RN_AN!$A$2:$B$100,2,FALSE)</f>
        <v>Reportes de Inventarios</v>
      </c>
      <c r="E129" s="8" t="s">
        <v>47</v>
      </c>
      <c r="F129" s="6" t="str">
        <f>VLOOKUP(D129,RN_AN!$B$3:$C$100,2,FALSE)</f>
        <v>Reporteo</v>
      </c>
      <c r="G129" s="6" t="s">
        <v>94</v>
      </c>
      <c r="H129" s="6" t="s">
        <v>101</v>
      </c>
      <c r="I129" s="29">
        <v>42065</v>
      </c>
      <c r="J129" s="30">
        <v>0.60138888888888886</v>
      </c>
      <c r="K129" s="30"/>
      <c r="L129" s="32"/>
    </row>
    <row r="130" spans="1:12" ht="39" x14ac:dyDescent="0.25">
      <c r="A130" s="6" t="str">
        <f t="shared" si="8"/>
        <v>Rep_02_02</v>
      </c>
      <c r="B130" s="7" t="s">
        <v>46</v>
      </c>
      <c r="C130" s="6" t="s">
        <v>128</v>
      </c>
      <c r="D130" s="6" t="str">
        <f>VLOOKUP(C130,RN_AN!$A$2:$B$100,2,FALSE)</f>
        <v>Reportes de Inventarios</v>
      </c>
      <c r="E130" s="8" t="s">
        <v>48</v>
      </c>
      <c r="F130" s="6" t="str">
        <f>VLOOKUP(D130,RN_AN!$B$3:$C$100,2,FALSE)</f>
        <v>Reporteo</v>
      </c>
      <c r="G130" s="6" t="s">
        <v>94</v>
      </c>
      <c r="H130" s="6"/>
      <c r="I130" s="29">
        <v>42065</v>
      </c>
      <c r="J130" s="30">
        <v>0.60138888888888886</v>
      </c>
      <c r="K130" s="30"/>
      <c r="L130" s="32"/>
    </row>
    <row r="131" spans="1:12" ht="39" x14ac:dyDescent="0.25">
      <c r="A131" s="6" t="str">
        <f t="shared" si="8"/>
        <v>Rep_03_01</v>
      </c>
      <c r="B131" s="9" t="s">
        <v>58</v>
      </c>
      <c r="C131" s="6" t="s">
        <v>127</v>
      </c>
      <c r="D131" s="6" t="str">
        <f>VLOOKUP(C131,RN_AN!$A$2:$B$100,2,FALSE)</f>
        <v>Reportes de Proveedores</v>
      </c>
      <c r="E131" s="10" t="s">
        <v>47</v>
      </c>
      <c r="F131" s="6" t="str">
        <f>VLOOKUP(D131,RN_AN!$B$3:$C$100,2,FALSE)</f>
        <v>Reporteo</v>
      </c>
      <c r="G131" s="6" t="s">
        <v>94</v>
      </c>
      <c r="H131" s="6"/>
      <c r="I131" s="29">
        <v>42074</v>
      </c>
      <c r="J131" s="30">
        <v>0.61805555555555558</v>
      </c>
      <c r="K131" s="30"/>
      <c r="L131" s="32"/>
    </row>
    <row r="132" spans="1:12" ht="26.25" x14ac:dyDescent="0.25">
      <c r="A132" s="6" t="str">
        <f t="shared" si="8"/>
        <v>Rep_03_02</v>
      </c>
      <c r="B132" s="7" t="s">
        <v>71</v>
      </c>
      <c r="C132" s="6" t="s">
        <v>127</v>
      </c>
      <c r="D132" s="6" t="str">
        <f>VLOOKUP(C132,RN_AN!$A$2:$B$100,2,FALSE)</f>
        <v>Reportes de Proveedores</v>
      </c>
      <c r="E132" s="8" t="s">
        <v>48</v>
      </c>
      <c r="F132" s="6" t="str">
        <f>VLOOKUP(D132,RN_AN!$B$3:$C$100,2,FALSE)</f>
        <v>Reporteo</v>
      </c>
      <c r="G132" s="6" t="s">
        <v>94</v>
      </c>
      <c r="H132" s="6"/>
      <c r="I132" s="29">
        <v>42074</v>
      </c>
      <c r="J132" s="30">
        <v>0.61805555555555558</v>
      </c>
      <c r="K132" s="30"/>
      <c r="L132" s="32"/>
    </row>
    <row r="133" spans="1:12" ht="39" x14ac:dyDescent="0.25">
      <c r="A133" s="6" t="str">
        <f t="shared" si="8"/>
        <v>Rep_04_01</v>
      </c>
      <c r="B133" s="7" t="s">
        <v>136</v>
      </c>
      <c r="C133" s="6" t="s">
        <v>135</v>
      </c>
      <c r="D133" s="6" t="str">
        <f>VLOOKUP(C133,RN_AN!$A$2:$B$100,2,FALSE)</f>
        <v>Reportes de órdenes de compra</v>
      </c>
      <c r="E133" s="8" t="s">
        <v>47</v>
      </c>
      <c r="F133" s="6" t="str">
        <f>VLOOKUP(D133,RN_AN!$B$3:$C$100,2,FALSE)</f>
        <v>Reporteo</v>
      </c>
      <c r="G133" s="6" t="s">
        <v>94</v>
      </c>
      <c r="H133" s="6"/>
      <c r="I133" s="29">
        <v>42065</v>
      </c>
      <c r="J133" s="30">
        <v>0.59930555555555554</v>
      </c>
      <c r="K133" s="30"/>
      <c r="L133" s="32"/>
    </row>
    <row r="134" spans="1:12" ht="51.75" x14ac:dyDescent="0.25">
      <c r="A134" s="6" t="str">
        <f t="shared" si="8"/>
        <v>Rep_05_01</v>
      </c>
      <c r="B134" s="7" t="s">
        <v>137</v>
      </c>
      <c r="C134" s="6" t="s">
        <v>138</v>
      </c>
      <c r="D134" s="6" t="str">
        <f>VLOOKUP(C134,RN_AN!$A$2:$B$100,2,FALSE)</f>
        <v>Reportes de entradas/salidas de mercancía</v>
      </c>
      <c r="E134" s="8" t="s">
        <v>47</v>
      </c>
      <c r="F134" s="6" t="str">
        <f>VLOOKUP(D134,RN_AN!$B$3:$C$100,2,FALSE)</f>
        <v>Reporteo</v>
      </c>
      <c r="G134" s="6" t="s">
        <v>94</v>
      </c>
      <c r="H134" s="6"/>
      <c r="I134" s="29">
        <v>42074</v>
      </c>
      <c r="J134" s="30">
        <v>0.61805555555555558</v>
      </c>
      <c r="K134" s="30"/>
      <c r="L134" s="32"/>
    </row>
    <row r="135" spans="1:12" ht="51.75" x14ac:dyDescent="0.25">
      <c r="A135" s="6" t="str">
        <f t="shared" si="8"/>
        <v>Rep_06_01</v>
      </c>
      <c r="B135" s="7" t="s">
        <v>696</v>
      </c>
      <c r="C135" s="6" t="s">
        <v>871</v>
      </c>
      <c r="D135" s="6" t="str">
        <f>VLOOKUP(C135,RN_AN!$A$2:$B$100,2,FALSE)</f>
        <v>Reportes de Ventas</v>
      </c>
      <c r="E135" s="8" t="s">
        <v>47</v>
      </c>
      <c r="F135" s="6" t="str">
        <f>VLOOKUP(D135,RN_AN!$B$3:$C$100,2,FALSE)</f>
        <v>Reporteo</v>
      </c>
      <c r="G135" s="6" t="s">
        <v>94</v>
      </c>
      <c r="H135" s="6"/>
      <c r="I135" s="29">
        <v>42074</v>
      </c>
      <c r="J135" s="30">
        <v>0.61805555555555558</v>
      </c>
      <c r="K135" s="30" t="s">
        <v>703</v>
      </c>
      <c r="L135" s="32"/>
    </row>
    <row r="136" spans="1:12" x14ac:dyDescent="0.25">
      <c r="A136" s="6" t="str">
        <f t="shared" ref="A136:A141" si="9">CONCATENATE(C136,"_",E136)</f>
        <v>Rep_06_02</v>
      </c>
      <c r="B136" s="7" t="s">
        <v>869</v>
      </c>
      <c r="C136" s="6" t="s">
        <v>871</v>
      </c>
      <c r="D136" s="6" t="str">
        <f>VLOOKUP(C136,RN_AN!$A$2:$B$100,2,FALSE)</f>
        <v>Reportes de Ventas</v>
      </c>
      <c r="E136" s="8" t="s">
        <v>48</v>
      </c>
      <c r="F136" s="6" t="str">
        <f>VLOOKUP(D136,RN_AN!$B$3:$C$100,2,FALSE)</f>
        <v>Reporteo</v>
      </c>
      <c r="G136" s="6" t="s">
        <v>94</v>
      </c>
      <c r="H136" s="6"/>
      <c r="I136" s="29">
        <v>42074</v>
      </c>
      <c r="J136" s="30">
        <v>0.61805555555555558</v>
      </c>
      <c r="K136" s="6"/>
      <c r="L136" s="32"/>
    </row>
    <row r="137" spans="1:12" x14ac:dyDescent="0.25">
      <c r="A137" s="6" t="str">
        <f t="shared" si="9"/>
        <v>Rep_06_03</v>
      </c>
      <c r="B137" s="7" t="s">
        <v>873</v>
      </c>
      <c r="C137" s="6" t="s">
        <v>871</v>
      </c>
      <c r="D137" s="6" t="str">
        <f>VLOOKUP(C137,RN_AN!$A$2:$B$100,2,FALSE)</f>
        <v>Reportes de Ventas</v>
      </c>
      <c r="E137" s="8" t="s">
        <v>49</v>
      </c>
      <c r="F137" s="6" t="str">
        <f>VLOOKUP(D137,RN_AN!$B$3:$C$100,2,FALSE)</f>
        <v>Reporteo</v>
      </c>
      <c r="G137" s="6" t="s">
        <v>94</v>
      </c>
      <c r="H137" s="6"/>
      <c r="I137" s="29">
        <v>42074</v>
      </c>
      <c r="J137" s="30">
        <v>0.61805555555555558</v>
      </c>
      <c r="K137" s="6"/>
      <c r="L137" s="32"/>
    </row>
    <row r="138" spans="1:12" ht="26.25" x14ac:dyDescent="0.25">
      <c r="A138" s="6" t="str">
        <f t="shared" si="9"/>
        <v>Rep_07_01</v>
      </c>
      <c r="B138" s="7" t="s">
        <v>88</v>
      </c>
      <c r="C138" s="6" t="s">
        <v>884</v>
      </c>
      <c r="D138" s="6" t="str">
        <f>VLOOKUP(C138,RN_AN!$A$2:$B$100,2,FALSE)</f>
        <v>Reportes de Documentos del Sistema</v>
      </c>
      <c r="E138" s="8" t="s">
        <v>47</v>
      </c>
      <c r="F138" s="6" t="str">
        <f>VLOOKUP(D138,RN_AN!$B$3:$C$100,2,FALSE)</f>
        <v>Reporteo</v>
      </c>
      <c r="G138" s="6" t="s">
        <v>94</v>
      </c>
      <c r="H138" s="6"/>
      <c r="I138" s="29">
        <v>42074</v>
      </c>
      <c r="J138" s="30">
        <v>0.61875000000000002</v>
      </c>
      <c r="K138" s="30" t="s">
        <v>704</v>
      </c>
      <c r="L138" s="32"/>
    </row>
    <row r="139" spans="1:12" ht="26.25" x14ac:dyDescent="0.25">
      <c r="A139" s="6" t="str">
        <f t="shared" si="9"/>
        <v>Rep_07_02</v>
      </c>
      <c r="B139" s="7" t="s">
        <v>837</v>
      </c>
      <c r="C139" s="6" t="s">
        <v>884</v>
      </c>
      <c r="D139" s="6" t="str">
        <f>VLOOKUP(C139,RN_AN!$A$2:$B$100,2,FALSE)</f>
        <v>Reportes de Documentos del Sistema</v>
      </c>
      <c r="E139" s="8" t="s">
        <v>48</v>
      </c>
      <c r="F139" s="6" t="str">
        <f>VLOOKUP(D139,RN_AN!$B$3:$C$100,2,FALSE)</f>
        <v>Reporteo</v>
      </c>
      <c r="G139" s="6" t="s">
        <v>94</v>
      </c>
      <c r="H139" s="6"/>
      <c r="I139" s="29">
        <v>42074</v>
      </c>
      <c r="J139" s="30">
        <v>0.61875000000000002</v>
      </c>
      <c r="K139" s="6"/>
      <c r="L139" s="32"/>
    </row>
    <row r="140" spans="1:12" ht="26.25" x14ac:dyDescent="0.25">
      <c r="A140" s="6" t="str">
        <f t="shared" si="9"/>
        <v>UP_01_01</v>
      </c>
      <c r="B140" s="7" t="s">
        <v>853</v>
      </c>
      <c r="C140" s="6" t="s">
        <v>856</v>
      </c>
      <c r="D140" s="6" t="str">
        <f>VLOOKUP(C140,RN_AN!$A$2:$B$100,2,FALSE)</f>
        <v>Administración de Usuarios</v>
      </c>
      <c r="E140" s="8" t="s">
        <v>47</v>
      </c>
      <c r="F140" s="6" t="str">
        <f>VLOOKUP(D140,RN_AN!$B$3:$C$100,2,FALSE)</f>
        <v>Administración de Usuarios, Permisos y Niveles Organizacionales</v>
      </c>
      <c r="G140" s="6" t="s">
        <v>94</v>
      </c>
      <c r="H140" s="6"/>
      <c r="I140" s="29">
        <v>42074</v>
      </c>
      <c r="J140" s="30">
        <v>0.61875000000000002</v>
      </c>
      <c r="K140" s="6"/>
      <c r="L140" s="32"/>
    </row>
    <row r="141" spans="1:12" ht="39" x14ac:dyDescent="0.25">
      <c r="A141" s="6" t="str">
        <f t="shared" si="9"/>
        <v>UP_02_02</v>
      </c>
      <c r="B141" s="7" t="s">
        <v>854</v>
      </c>
      <c r="C141" s="6" t="s">
        <v>855</v>
      </c>
      <c r="D141" s="6" t="str">
        <f>VLOOKUP(C141,RN_AN!$A$2:$B$100,2,FALSE)</f>
        <v>Administración de Niveles Organizacionales</v>
      </c>
      <c r="E141" s="8" t="s">
        <v>48</v>
      </c>
      <c r="F141" s="6" t="str">
        <f>VLOOKUP(D141,RN_AN!$B$3:$C$100,2,FALSE)</f>
        <v>Administración de Usuarios, Permisos y Niveles Organizacionales</v>
      </c>
      <c r="G141" s="6" t="s">
        <v>94</v>
      </c>
      <c r="H141" s="6"/>
      <c r="I141" s="29">
        <v>42074</v>
      </c>
      <c r="J141" s="30">
        <v>0.61875000000000002</v>
      </c>
      <c r="K141" s="6"/>
      <c r="L141" s="32"/>
    </row>
    <row r="142" spans="1:12" ht="39" x14ac:dyDescent="0.25">
      <c r="A142" s="6" t="str">
        <f t="shared" ref="A142:A162" si="10">CONCATENATE(C142,"_",E142)</f>
        <v>Caj_02_2</v>
      </c>
      <c r="B142" s="7" t="s">
        <v>1768</v>
      </c>
      <c r="C142" s="6" t="s">
        <v>928</v>
      </c>
      <c r="D142" s="6" t="str">
        <f>VLOOKUP(C142,RN_AN!$A$2:$B$100,2,FALSE)</f>
        <v>Administración de Bancos</v>
      </c>
      <c r="E142" s="8">
        <f>VLOOKUP(D142,$N$4:$P$50,3,FALSE)</f>
        <v>2</v>
      </c>
      <c r="F142" s="6" t="str">
        <f>VLOOKUP(D142,RN_AN!$B$3:$C$100,2,FALSE)</f>
        <v>Cajas y Bancos</v>
      </c>
      <c r="G142" s="6" t="s">
        <v>94</v>
      </c>
      <c r="H142" s="6"/>
      <c r="I142" s="29">
        <v>42090</v>
      </c>
      <c r="J142" s="30">
        <v>0.39861111111111108</v>
      </c>
      <c r="K142" s="6"/>
      <c r="L142" s="30"/>
    </row>
    <row r="143" spans="1:12" ht="39" x14ac:dyDescent="0.25">
      <c r="A143" s="6" t="str">
        <f>CONCATENATE(C143,"_",E143)</f>
        <v>Con_04_01</v>
      </c>
      <c r="B143" s="7" t="s">
        <v>1769</v>
      </c>
      <c r="C143" s="6" t="s">
        <v>1771</v>
      </c>
      <c r="D143" s="6" t="str">
        <f>VLOOKUP(C143,RN_AN!$A$2:$B$100,2,FALSE)</f>
        <v>Cierre Contable</v>
      </c>
      <c r="E143" s="8" t="s">
        <v>47</v>
      </c>
      <c r="F143" s="6" t="str">
        <f>VLOOKUP(D143,RN_AN!$B$3:$C$100,2,FALSE)</f>
        <v>Contabilidad</v>
      </c>
      <c r="G143" s="6" t="s">
        <v>94</v>
      </c>
      <c r="H143" s="6"/>
      <c r="I143" s="29">
        <v>42090</v>
      </c>
      <c r="J143" s="30">
        <v>0.39861111111111108</v>
      </c>
      <c r="K143" s="6"/>
      <c r="L143" s="30"/>
    </row>
    <row r="144" spans="1:12" x14ac:dyDescent="0.25">
      <c r="A144" s="6" t="e">
        <f t="shared" si="10"/>
        <v>#N/A</v>
      </c>
      <c r="B144" s="7"/>
      <c r="C144" s="6"/>
      <c r="D144" s="6" t="e">
        <f>VLOOKUP(C144,RN_AN!$A$2:$B$100,2,FALSE)</f>
        <v>#N/A</v>
      </c>
      <c r="E144" s="8" t="e">
        <f t="shared" ref="E144:E171" si="11">VLOOKUP(D144,$N$4:$P$40,3,FALSE)</f>
        <v>#N/A</v>
      </c>
      <c r="F144" s="6" t="e">
        <f>VLOOKUP(D144,RN_AN!$B$3:$C$100,2,FALSE)</f>
        <v>#N/A</v>
      </c>
      <c r="G144" s="6"/>
      <c r="H144" s="6"/>
      <c r="I144" s="6"/>
      <c r="J144" s="6"/>
      <c r="K144" s="6"/>
      <c r="L144" s="30" t="e">
        <f>VLOOKUP(A144,UI!$L$3:$M$998,2,FALSE)</f>
        <v>#N/A</v>
      </c>
    </row>
    <row r="145" spans="1:12" x14ac:dyDescent="0.25">
      <c r="A145" s="6" t="e">
        <f t="shared" si="10"/>
        <v>#N/A</v>
      </c>
      <c r="B145" s="7"/>
      <c r="C145" s="6"/>
      <c r="D145" s="6" t="e">
        <f>VLOOKUP(C145,RN_AN!$A$2:$B$100,2,FALSE)</f>
        <v>#N/A</v>
      </c>
      <c r="E145" s="8" t="e">
        <f t="shared" si="11"/>
        <v>#N/A</v>
      </c>
      <c r="F145" s="6" t="e">
        <f>VLOOKUP(D145,RN_AN!$B$3:$C$100,2,FALSE)</f>
        <v>#N/A</v>
      </c>
      <c r="G145" s="6"/>
      <c r="H145" s="6"/>
      <c r="I145" s="6"/>
      <c r="J145" s="6"/>
      <c r="K145" s="6"/>
      <c r="L145" s="30" t="e">
        <f>VLOOKUP(A145,UI!$L$3:$M$998,2,FALSE)</f>
        <v>#N/A</v>
      </c>
    </row>
    <row r="146" spans="1:12" x14ac:dyDescent="0.25">
      <c r="A146" s="6" t="e">
        <f t="shared" si="10"/>
        <v>#N/A</v>
      </c>
      <c r="B146" s="7"/>
      <c r="C146" s="6"/>
      <c r="D146" s="6" t="e">
        <f>VLOOKUP(C146,RN_AN!$A$2:$B$100,2,FALSE)</f>
        <v>#N/A</v>
      </c>
      <c r="E146" s="8" t="e">
        <f t="shared" si="11"/>
        <v>#N/A</v>
      </c>
      <c r="F146" s="6" t="e">
        <f>VLOOKUP(D146,RN_AN!$B$3:$C$100,2,FALSE)</f>
        <v>#N/A</v>
      </c>
      <c r="G146" s="6"/>
      <c r="H146" s="6"/>
      <c r="I146" s="6"/>
      <c r="J146" s="6"/>
      <c r="K146" s="6"/>
      <c r="L146" s="30" t="e">
        <f>VLOOKUP(A146,UI!$L$3:$M$998,2,FALSE)</f>
        <v>#N/A</v>
      </c>
    </row>
    <row r="147" spans="1:12" x14ac:dyDescent="0.25">
      <c r="A147" s="6" t="e">
        <f t="shared" si="10"/>
        <v>#N/A</v>
      </c>
      <c r="B147" s="7"/>
      <c r="C147" s="6"/>
      <c r="D147" s="6" t="e">
        <f>VLOOKUP(C147,RN_AN!$A$2:$B$100,2,FALSE)</f>
        <v>#N/A</v>
      </c>
      <c r="E147" s="8" t="e">
        <f t="shared" si="11"/>
        <v>#N/A</v>
      </c>
      <c r="F147" s="6" t="e">
        <f>VLOOKUP(D147,RN_AN!$B$3:$C$100,2,FALSE)</f>
        <v>#N/A</v>
      </c>
      <c r="G147" s="6"/>
      <c r="H147" s="6"/>
      <c r="I147" s="6"/>
      <c r="J147" s="6"/>
      <c r="K147" s="6"/>
      <c r="L147" s="30" t="e">
        <f>VLOOKUP(A147,UI!$L$3:$M$998,2,FALSE)</f>
        <v>#N/A</v>
      </c>
    </row>
    <row r="148" spans="1:12" x14ac:dyDescent="0.25">
      <c r="A148" s="6" t="e">
        <f t="shared" si="10"/>
        <v>#N/A</v>
      </c>
      <c r="B148" s="7"/>
      <c r="C148" s="6"/>
      <c r="D148" s="6" t="e">
        <f>VLOOKUP(C148,RN_AN!$A$2:$B$100,2,FALSE)</f>
        <v>#N/A</v>
      </c>
      <c r="E148" s="8" t="e">
        <f t="shared" si="11"/>
        <v>#N/A</v>
      </c>
      <c r="F148" s="6" t="e">
        <f>VLOOKUP(D148,RN_AN!$B$3:$C$100,2,FALSE)</f>
        <v>#N/A</v>
      </c>
      <c r="G148" s="6"/>
      <c r="H148" s="6"/>
      <c r="I148" s="6"/>
      <c r="J148" s="6"/>
      <c r="K148" s="6"/>
      <c r="L148" s="30" t="e">
        <f>VLOOKUP(A148,UI!$L$3:$M$998,2,FALSE)</f>
        <v>#N/A</v>
      </c>
    </row>
    <row r="149" spans="1:12" x14ac:dyDescent="0.25">
      <c r="A149" s="6" t="e">
        <f t="shared" si="10"/>
        <v>#N/A</v>
      </c>
      <c r="B149" s="7"/>
      <c r="C149" s="6"/>
      <c r="D149" s="6" t="e">
        <f>VLOOKUP(C149,RN_AN!$A$2:$B$100,2,FALSE)</f>
        <v>#N/A</v>
      </c>
      <c r="E149" s="8" t="e">
        <f t="shared" si="11"/>
        <v>#N/A</v>
      </c>
      <c r="F149" s="6" t="e">
        <f>VLOOKUP(D149,RN_AN!$B$3:$C$100,2,FALSE)</f>
        <v>#N/A</v>
      </c>
      <c r="G149" s="6"/>
      <c r="H149" s="6"/>
      <c r="I149" s="6"/>
      <c r="J149" s="6"/>
      <c r="K149" s="6"/>
      <c r="L149" s="30" t="e">
        <f>VLOOKUP(A149,UI!$L$3:$M$998,2,FALSE)</f>
        <v>#N/A</v>
      </c>
    </row>
    <row r="150" spans="1:12" x14ac:dyDescent="0.25">
      <c r="A150" s="6" t="e">
        <f t="shared" si="10"/>
        <v>#N/A</v>
      </c>
      <c r="B150" s="7"/>
      <c r="C150" s="6"/>
      <c r="D150" s="6" t="e">
        <f>VLOOKUP(C150,RN_AN!$A$2:$B$100,2,FALSE)</f>
        <v>#N/A</v>
      </c>
      <c r="E150" s="8" t="e">
        <f t="shared" si="11"/>
        <v>#N/A</v>
      </c>
      <c r="F150" s="6" t="e">
        <f>VLOOKUP(D150,RN_AN!$B$3:$C$100,2,FALSE)</f>
        <v>#N/A</v>
      </c>
      <c r="G150" s="6"/>
      <c r="H150" s="6"/>
      <c r="I150" s="6"/>
      <c r="J150" s="6"/>
      <c r="K150" s="6"/>
      <c r="L150" s="30" t="e">
        <f>VLOOKUP(A150,UI!$L$3:$M$998,2,FALSE)</f>
        <v>#N/A</v>
      </c>
    </row>
    <row r="151" spans="1:12" x14ac:dyDescent="0.25">
      <c r="A151" s="6" t="e">
        <f t="shared" si="10"/>
        <v>#N/A</v>
      </c>
      <c r="B151" s="7"/>
      <c r="C151" s="6"/>
      <c r="D151" s="6" t="e">
        <f>VLOOKUP(C151,RN_AN!$A$2:$B$100,2,FALSE)</f>
        <v>#N/A</v>
      </c>
      <c r="E151" s="8" t="e">
        <f t="shared" si="11"/>
        <v>#N/A</v>
      </c>
      <c r="F151" s="6" t="e">
        <f>VLOOKUP(D151,RN_AN!$B$3:$C$100,2,FALSE)</f>
        <v>#N/A</v>
      </c>
      <c r="G151" s="6"/>
      <c r="H151" s="6"/>
      <c r="I151" s="6"/>
      <c r="J151" s="6"/>
      <c r="K151" s="6"/>
      <c r="L151" s="30" t="e">
        <f>VLOOKUP(A151,UI!$L$3:$M$998,2,FALSE)</f>
        <v>#N/A</v>
      </c>
    </row>
    <row r="152" spans="1:12" x14ac:dyDescent="0.25">
      <c r="A152" s="6" t="e">
        <f t="shared" si="10"/>
        <v>#N/A</v>
      </c>
      <c r="B152" s="7"/>
      <c r="C152" s="6"/>
      <c r="D152" s="6" t="e">
        <f>VLOOKUP(C152,RN_AN!$A$2:$B$100,2,FALSE)</f>
        <v>#N/A</v>
      </c>
      <c r="E152" s="8" t="e">
        <f t="shared" si="11"/>
        <v>#N/A</v>
      </c>
      <c r="F152" s="6" t="e">
        <f>VLOOKUP(D152,RN_AN!$B$3:$C$100,2,FALSE)</f>
        <v>#N/A</v>
      </c>
      <c r="G152" s="6"/>
      <c r="H152" s="6"/>
      <c r="I152" s="6"/>
      <c r="J152" s="6"/>
      <c r="K152" s="6"/>
      <c r="L152" s="30" t="e">
        <f>VLOOKUP(A152,UI!$L$3:$M$998,2,FALSE)</f>
        <v>#N/A</v>
      </c>
    </row>
    <row r="153" spans="1:12" x14ac:dyDescent="0.25">
      <c r="A153" s="6" t="e">
        <f t="shared" si="10"/>
        <v>#N/A</v>
      </c>
      <c r="B153" s="7"/>
      <c r="C153" s="6"/>
      <c r="D153" s="6" t="e">
        <f>VLOOKUP(C153,RN_AN!$A$2:$B$100,2,FALSE)</f>
        <v>#N/A</v>
      </c>
      <c r="E153" s="8" t="e">
        <f t="shared" si="11"/>
        <v>#N/A</v>
      </c>
      <c r="F153" s="6" t="e">
        <f>VLOOKUP(D153,RN_AN!$B$3:$C$100,2,FALSE)</f>
        <v>#N/A</v>
      </c>
      <c r="G153" s="6"/>
      <c r="H153" s="6"/>
      <c r="I153" s="6"/>
      <c r="J153" s="6"/>
      <c r="K153" s="6"/>
      <c r="L153" s="30" t="e">
        <f>VLOOKUP(A153,UI!$L$3:$M$998,2,FALSE)</f>
        <v>#N/A</v>
      </c>
    </row>
    <row r="154" spans="1:12" x14ac:dyDescent="0.25">
      <c r="A154" s="6" t="e">
        <f t="shared" si="10"/>
        <v>#N/A</v>
      </c>
      <c r="B154" s="7"/>
      <c r="C154" s="6"/>
      <c r="D154" s="6" t="e">
        <f>VLOOKUP(C154,RN_AN!$A$2:$B$100,2,FALSE)</f>
        <v>#N/A</v>
      </c>
      <c r="E154" s="8" t="e">
        <f t="shared" si="11"/>
        <v>#N/A</v>
      </c>
      <c r="F154" s="6" t="e">
        <f>VLOOKUP(D154,RN_AN!$B$3:$C$100,2,FALSE)</f>
        <v>#N/A</v>
      </c>
      <c r="G154" s="6"/>
      <c r="H154" s="6"/>
      <c r="I154" s="6"/>
      <c r="J154" s="6"/>
      <c r="K154" s="6"/>
      <c r="L154" s="30" t="e">
        <f>VLOOKUP(A154,UI!$L$3:$M$998,2,FALSE)</f>
        <v>#N/A</v>
      </c>
    </row>
    <row r="155" spans="1:12" x14ac:dyDescent="0.25">
      <c r="A155" s="6" t="e">
        <f t="shared" si="10"/>
        <v>#N/A</v>
      </c>
      <c r="B155" s="7"/>
      <c r="C155" s="6"/>
      <c r="D155" s="6" t="e">
        <f>VLOOKUP(C155,RN_AN!$A$2:$B$100,2,FALSE)</f>
        <v>#N/A</v>
      </c>
      <c r="E155" s="8" t="e">
        <f t="shared" si="11"/>
        <v>#N/A</v>
      </c>
      <c r="F155" s="6" t="e">
        <f>VLOOKUP(D155,RN_AN!$B$3:$C$100,2,FALSE)</f>
        <v>#N/A</v>
      </c>
      <c r="G155" s="6"/>
      <c r="H155" s="6"/>
      <c r="I155" s="6"/>
      <c r="J155" s="6"/>
      <c r="K155" s="6"/>
      <c r="L155" s="30" t="e">
        <f>VLOOKUP(A155,UI!$L$3:$M$998,2,FALSE)</f>
        <v>#N/A</v>
      </c>
    </row>
    <row r="156" spans="1:12" x14ac:dyDescent="0.25">
      <c r="A156" s="6" t="e">
        <f t="shared" si="10"/>
        <v>#N/A</v>
      </c>
      <c r="B156" s="7"/>
      <c r="C156" s="6"/>
      <c r="D156" s="6" t="e">
        <f>VLOOKUP(C156,RN_AN!$A$2:$B$100,2,FALSE)</f>
        <v>#N/A</v>
      </c>
      <c r="E156" s="8" t="e">
        <f t="shared" si="11"/>
        <v>#N/A</v>
      </c>
      <c r="F156" s="6" t="e">
        <f>VLOOKUP(D156,RN_AN!$B$3:$C$100,2,FALSE)</f>
        <v>#N/A</v>
      </c>
      <c r="G156" s="6"/>
      <c r="H156" s="6"/>
      <c r="I156" s="6"/>
      <c r="J156" s="6"/>
      <c r="K156" s="6"/>
      <c r="L156" s="30" t="e">
        <f>VLOOKUP(A156,UI!$L$3:$M$998,2,FALSE)</f>
        <v>#N/A</v>
      </c>
    </row>
    <row r="157" spans="1:12" x14ac:dyDescent="0.25">
      <c r="A157" s="6" t="e">
        <f t="shared" si="10"/>
        <v>#N/A</v>
      </c>
      <c r="B157" s="7"/>
      <c r="C157" s="6"/>
      <c r="D157" s="6" t="e">
        <f>VLOOKUP(C157,RN_AN!$A$2:$B$100,2,FALSE)</f>
        <v>#N/A</v>
      </c>
      <c r="E157" s="8" t="e">
        <f t="shared" si="11"/>
        <v>#N/A</v>
      </c>
      <c r="F157" s="6" t="e">
        <f>VLOOKUP(D157,RN_AN!$B$3:$C$100,2,FALSE)</f>
        <v>#N/A</v>
      </c>
      <c r="G157" s="6"/>
      <c r="H157" s="6"/>
      <c r="I157" s="6"/>
      <c r="J157" s="6"/>
      <c r="K157" s="6"/>
      <c r="L157" s="30" t="e">
        <f>VLOOKUP(A157,UI!$L$3:$M$998,2,FALSE)</f>
        <v>#N/A</v>
      </c>
    </row>
    <row r="158" spans="1:12" x14ac:dyDescent="0.25">
      <c r="A158" s="6" t="e">
        <f t="shared" si="10"/>
        <v>#N/A</v>
      </c>
      <c r="B158" s="7"/>
      <c r="C158" s="6"/>
      <c r="D158" s="6" t="e">
        <f>VLOOKUP(C158,RN_AN!$A$2:$B$100,2,FALSE)</f>
        <v>#N/A</v>
      </c>
      <c r="E158" s="8" t="e">
        <f t="shared" si="11"/>
        <v>#N/A</v>
      </c>
      <c r="F158" s="6" t="e">
        <f>VLOOKUP(D158,RN_AN!$B$3:$C$100,2,FALSE)</f>
        <v>#N/A</v>
      </c>
      <c r="G158" s="6"/>
      <c r="H158" s="6"/>
      <c r="I158" s="6"/>
      <c r="J158" s="6"/>
      <c r="K158" s="6"/>
      <c r="L158" s="30" t="e">
        <f>VLOOKUP(A158,UI!$L$3:$M$998,2,FALSE)</f>
        <v>#N/A</v>
      </c>
    </row>
    <row r="159" spans="1:12" x14ac:dyDescent="0.25">
      <c r="A159" s="6" t="e">
        <f t="shared" si="10"/>
        <v>#N/A</v>
      </c>
      <c r="B159" s="7"/>
      <c r="C159" s="6"/>
      <c r="D159" s="6" t="e">
        <f>VLOOKUP(C159,RN_AN!$A$2:$B$100,2,FALSE)</f>
        <v>#N/A</v>
      </c>
      <c r="E159" s="8" t="e">
        <f t="shared" si="11"/>
        <v>#N/A</v>
      </c>
      <c r="F159" s="6" t="e">
        <f>VLOOKUP(D159,RN_AN!$B$3:$C$100,2,FALSE)</f>
        <v>#N/A</v>
      </c>
      <c r="G159" s="6"/>
      <c r="H159" s="6"/>
      <c r="I159" s="6"/>
      <c r="J159" s="6"/>
      <c r="K159" s="6"/>
      <c r="L159" s="30" t="e">
        <f>VLOOKUP(A159,UI!$L$3:$M$998,2,FALSE)</f>
        <v>#N/A</v>
      </c>
    </row>
    <row r="160" spans="1:12" x14ac:dyDescent="0.25">
      <c r="A160" s="6" t="e">
        <f t="shared" si="10"/>
        <v>#N/A</v>
      </c>
      <c r="B160" s="7"/>
      <c r="C160" s="6"/>
      <c r="D160" s="6" t="e">
        <f>VLOOKUP(C160,RN_AN!$A$2:$B$100,2,FALSE)</f>
        <v>#N/A</v>
      </c>
      <c r="E160" s="8" t="e">
        <f t="shared" si="11"/>
        <v>#N/A</v>
      </c>
      <c r="F160" s="6" t="e">
        <f>VLOOKUP(D160,RN_AN!$B$3:$C$100,2,FALSE)</f>
        <v>#N/A</v>
      </c>
      <c r="G160" s="6"/>
      <c r="H160" s="6"/>
      <c r="I160" s="6"/>
      <c r="J160" s="6"/>
      <c r="K160" s="6"/>
      <c r="L160" s="30" t="e">
        <f>VLOOKUP(A160,UI!$L$3:$M$998,2,FALSE)</f>
        <v>#N/A</v>
      </c>
    </row>
    <row r="161" spans="1:12" x14ac:dyDescent="0.25">
      <c r="A161" s="6" t="e">
        <f t="shared" si="10"/>
        <v>#N/A</v>
      </c>
      <c r="B161" s="7"/>
      <c r="C161" s="6"/>
      <c r="D161" s="6" t="e">
        <f>VLOOKUP(C161,RN_AN!$A$2:$B$100,2,FALSE)</f>
        <v>#N/A</v>
      </c>
      <c r="E161" s="8" t="e">
        <f t="shared" si="11"/>
        <v>#N/A</v>
      </c>
      <c r="F161" s="6" t="e">
        <f>VLOOKUP(D161,RN_AN!$B$3:$C$100,2,FALSE)</f>
        <v>#N/A</v>
      </c>
      <c r="G161" s="6"/>
      <c r="H161" s="6"/>
      <c r="I161" s="6"/>
      <c r="J161" s="6"/>
      <c r="K161" s="6"/>
      <c r="L161" s="30" t="e">
        <f>VLOOKUP(A161,UI!$L$3:$M$998,2,FALSE)</f>
        <v>#N/A</v>
      </c>
    </row>
    <row r="162" spans="1:12" x14ac:dyDescent="0.25">
      <c r="A162" s="6" t="e">
        <f t="shared" si="10"/>
        <v>#N/A</v>
      </c>
      <c r="B162" s="7"/>
      <c r="C162" s="6"/>
      <c r="D162" s="6" t="e">
        <f>VLOOKUP(C162,RN_AN!$A$2:$B$100,2,FALSE)</f>
        <v>#N/A</v>
      </c>
      <c r="E162" s="8" t="e">
        <f t="shared" si="11"/>
        <v>#N/A</v>
      </c>
      <c r="F162" s="6" t="e">
        <f>VLOOKUP(D162,RN_AN!$B$3:$C$100,2,FALSE)</f>
        <v>#N/A</v>
      </c>
      <c r="G162" s="6"/>
      <c r="H162" s="6"/>
      <c r="I162" s="6"/>
      <c r="J162" s="6"/>
      <c r="K162" s="6"/>
      <c r="L162" s="30" t="e">
        <f>VLOOKUP(A162,UI!$L$3:$M$998,2,FALSE)</f>
        <v>#N/A</v>
      </c>
    </row>
    <row r="163" spans="1:12" x14ac:dyDescent="0.25">
      <c r="A163" s="6" t="e">
        <f t="shared" ref="A163:A196" si="12">CONCATENATE(C163,"_",E163)</f>
        <v>#N/A</v>
      </c>
      <c r="B163" s="7"/>
      <c r="C163" s="6"/>
      <c r="D163" s="6" t="e">
        <f>VLOOKUP(C163,RN_AN!$A$2:$B$100,2,FALSE)</f>
        <v>#N/A</v>
      </c>
      <c r="E163" s="8" t="e">
        <f t="shared" si="11"/>
        <v>#N/A</v>
      </c>
      <c r="F163" s="6" t="e">
        <f>VLOOKUP(D163,RN_AN!$B$3:$C$100,2,FALSE)</f>
        <v>#N/A</v>
      </c>
      <c r="G163" s="6"/>
      <c r="H163" s="6"/>
      <c r="I163" s="6"/>
      <c r="J163" s="6"/>
      <c r="K163" s="6"/>
      <c r="L163" s="30" t="e">
        <f>VLOOKUP(A163,UI!$L$3:$M$998,2,FALSE)</f>
        <v>#N/A</v>
      </c>
    </row>
    <row r="164" spans="1:12" x14ac:dyDescent="0.25">
      <c r="A164" s="6" t="e">
        <f t="shared" si="12"/>
        <v>#N/A</v>
      </c>
      <c r="B164" s="7"/>
      <c r="C164" s="6"/>
      <c r="D164" s="6" t="e">
        <f>VLOOKUP(C164,RN_AN!$A$2:$B$100,2,FALSE)</f>
        <v>#N/A</v>
      </c>
      <c r="E164" s="8" t="e">
        <f t="shared" si="11"/>
        <v>#N/A</v>
      </c>
      <c r="F164" s="6" t="e">
        <f>VLOOKUP(D164,RN_AN!$B$3:$C$100,2,FALSE)</f>
        <v>#N/A</v>
      </c>
      <c r="G164" s="6"/>
      <c r="H164" s="6"/>
      <c r="I164" s="6"/>
      <c r="J164" s="6"/>
      <c r="K164" s="6"/>
      <c r="L164" s="30" t="e">
        <f>VLOOKUP(A164,UI!$L$3:$M$998,2,FALSE)</f>
        <v>#N/A</v>
      </c>
    </row>
    <row r="165" spans="1:12" x14ac:dyDescent="0.25">
      <c r="A165" s="6" t="e">
        <f t="shared" si="12"/>
        <v>#N/A</v>
      </c>
      <c r="B165" s="7"/>
      <c r="C165" s="6"/>
      <c r="D165" s="6" t="e">
        <f>VLOOKUP(C165,RN_AN!$A$2:$B$100,2,FALSE)</f>
        <v>#N/A</v>
      </c>
      <c r="E165" s="8" t="e">
        <f t="shared" si="11"/>
        <v>#N/A</v>
      </c>
      <c r="F165" s="6" t="e">
        <f>VLOOKUP(D165,RN_AN!$B$3:$C$100,2,FALSE)</f>
        <v>#N/A</v>
      </c>
      <c r="G165" s="6"/>
      <c r="H165" s="6"/>
      <c r="I165" s="6"/>
      <c r="J165" s="6"/>
      <c r="K165" s="6"/>
      <c r="L165" s="30" t="e">
        <f>VLOOKUP(A165,UI!$L$3:$M$998,2,FALSE)</f>
        <v>#N/A</v>
      </c>
    </row>
    <row r="166" spans="1:12" x14ac:dyDescent="0.25">
      <c r="A166" s="6" t="e">
        <f t="shared" si="12"/>
        <v>#N/A</v>
      </c>
      <c r="B166" s="7"/>
      <c r="C166" s="6"/>
      <c r="D166" s="6" t="e">
        <f>VLOOKUP(C166,RN_AN!$A$2:$B$100,2,FALSE)</f>
        <v>#N/A</v>
      </c>
      <c r="E166" s="8" t="e">
        <f t="shared" si="11"/>
        <v>#N/A</v>
      </c>
      <c r="F166" s="6" t="e">
        <f>VLOOKUP(D166,RN_AN!$B$3:$C$100,2,FALSE)</f>
        <v>#N/A</v>
      </c>
      <c r="G166" s="6"/>
      <c r="H166" s="6"/>
      <c r="I166" s="6"/>
      <c r="J166" s="6"/>
      <c r="K166" s="6"/>
      <c r="L166" s="30" t="e">
        <f>VLOOKUP(A166,UI!$L$3:$M$998,2,FALSE)</f>
        <v>#N/A</v>
      </c>
    </row>
    <row r="167" spans="1:12" x14ac:dyDescent="0.25">
      <c r="A167" s="6" t="e">
        <f t="shared" si="12"/>
        <v>#N/A</v>
      </c>
      <c r="B167" s="7"/>
      <c r="C167" s="6"/>
      <c r="D167" s="6" t="e">
        <f>VLOOKUP(C167,RN_AN!$A$2:$B$100,2,FALSE)</f>
        <v>#N/A</v>
      </c>
      <c r="E167" s="8" t="e">
        <f t="shared" si="11"/>
        <v>#N/A</v>
      </c>
      <c r="F167" s="6" t="e">
        <f>VLOOKUP(D167,RN_AN!$B$3:$C$100,2,FALSE)</f>
        <v>#N/A</v>
      </c>
      <c r="G167" s="6"/>
      <c r="H167" s="6"/>
      <c r="I167" s="6"/>
      <c r="J167" s="6"/>
      <c r="K167" s="6"/>
      <c r="L167" s="30" t="e">
        <f>VLOOKUP(A167,UI!$L$3:$M$998,2,FALSE)</f>
        <v>#N/A</v>
      </c>
    </row>
    <row r="168" spans="1:12" x14ac:dyDescent="0.25">
      <c r="A168" s="6" t="e">
        <f t="shared" si="12"/>
        <v>#N/A</v>
      </c>
      <c r="B168" s="7"/>
      <c r="C168" s="6"/>
      <c r="D168" s="6" t="e">
        <f>VLOOKUP(C168,RN_AN!$A$2:$B$100,2,FALSE)</f>
        <v>#N/A</v>
      </c>
      <c r="E168" s="8" t="e">
        <f t="shared" si="11"/>
        <v>#N/A</v>
      </c>
      <c r="F168" s="6" t="e">
        <f>VLOOKUP(D168,RN_AN!$B$3:$C$100,2,FALSE)</f>
        <v>#N/A</v>
      </c>
      <c r="G168" s="6"/>
      <c r="H168" s="6"/>
      <c r="I168" s="6"/>
      <c r="J168" s="6"/>
      <c r="K168" s="6"/>
      <c r="L168" s="30" t="e">
        <f>VLOOKUP(A168,UI!$L$3:$M$998,2,FALSE)</f>
        <v>#N/A</v>
      </c>
    </row>
    <row r="169" spans="1:12" x14ac:dyDescent="0.25">
      <c r="A169" s="6" t="e">
        <f t="shared" si="12"/>
        <v>#N/A</v>
      </c>
      <c r="B169" s="7"/>
      <c r="C169" s="6"/>
      <c r="D169" s="6" t="e">
        <f>VLOOKUP(C169,RN_AN!$A$2:$B$100,2,FALSE)</f>
        <v>#N/A</v>
      </c>
      <c r="E169" s="8" t="e">
        <f t="shared" si="11"/>
        <v>#N/A</v>
      </c>
      <c r="F169" s="6" t="e">
        <f>VLOOKUP(D169,RN_AN!$B$3:$C$100,2,FALSE)</f>
        <v>#N/A</v>
      </c>
      <c r="G169" s="6"/>
      <c r="H169" s="6"/>
      <c r="I169" s="6"/>
      <c r="J169" s="6"/>
      <c r="K169" s="6"/>
      <c r="L169" s="30" t="e">
        <f>VLOOKUP(A169,UI!$L$3:$M$998,2,FALSE)</f>
        <v>#N/A</v>
      </c>
    </row>
    <row r="170" spans="1:12" x14ac:dyDescent="0.25">
      <c r="A170" s="6" t="e">
        <f t="shared" si="12"/>
        <v>#N/A</v>
      </c>
      <c r="B170" s="7"/>
      <c r="C170" s="6"/>
      <c r="D170" s="6" t="e">
        <f>VLOOKUP(C170,RN_AN!$A$2:$B$100,2,FALSE)</f>
        <v>#N/A</v>
      </c>
      <c r="E170" s="8" t="e">
        <f t="shared" si="11"/>
        <v>#N/A</v>
      </c>
      <c r="F170" s="6" t="e">
        <f>VLOOKUP(D170,RN_AN!$B$3:$C$100,2,FALSE)</f>
        <v>#N/A</v>
      </c>
      <c r="G170" s="6"/>
      <c r="H170" s="6"/>
      <c r="I170" s="6"/>
      <c r="J170" s="6"/>
      <c r="K170" s="6"/>
      <c r="L170" s="30" t="e">
        <f>VLOOKUP(A170,UI!$L$3:$M$998,2,FALSE)</f>
        <v>#N/A</v>
      </c>
    </row>
    <row r="171" spans="1:12" x14ac:dyDescent="0.25">
      <c r="A171" s="6" t="e">
        <f t="shared" si="12"/>
        <v>#N/A</v>
      </c>
      <c r="B171" s="7"/>
      <c r="C171" s="6"/>
      <c r="D171" s="6" t="e">
        <f>VLOOKUP(C171,RN_AN!$A$2:$B$100,2,FALSE)</f>
        <v>#N/A</v>
      </c>
      <c r="E171" s="8" t="e">
        <f t="shared" si="11"/>
        <v>#N/A</v>
      </c>
      <c r="F171" s="6" t="e">
        <f>VLOOKUP(D171,RN_AN!$B$3:$C$100,2,FALSE)</f>
        <v>#N/A</v>
      </c>
      <c r="G171" s="6"/>
      <c r="H171" s="6"/>
      <c r="I171" s="6"/>
      <c r="J171" s="6"/>
      <c r="K171" s="6"/>
      <c r="L171" s="30" t="e">
        <f>VLOOKUP(A171,UI!$L$3:$M$998,2,FALSE)</f>
        <v>#N/A</v>
      </c>
    </row>
    <row r="172" spans="1:12" x14ac:dyDescent="0.25">
      <c r="A172" s="6" t="e">
        <f t="shared" si="12"/>
        <v>#N/A</v>
      </c>
      <c r="B172" s="7"/>
      <c r="C172" s="6"/>
      <c r="D172" s="6" t="e">
        <f>VLOOKUP(C172,RN_AN!$A$2:$B$100,2,FALSE)</f>
        <v>#N/A</v>
      </c>
      <c r="E172" s="8" t="e">
        <f t="shared" ref="E172:E196" si="13">VLOOKUP(D172,$N$4:$P$40,3,FALSE)</f>
        <v>#N/A</v>
      </c>
      <c r="F172" s="6" t="e">
        <f>VLOOKUP(D172,RN_AN!$B$3:$C$100,2,FALSE)</f>
        <v>#N/A</v>
      </c>
      <c r="G172" s="6"/>
      <c r="H172" s="6"/>
      <c r="I172" s="6"/>
      <c r="J172" s="6"/>
      <c r="K172" s="6"/>
      <c r="L172" s="30" t="e">
        <f>VLOOKUP(A172,UI!$L$3:$M$998,2,FALSE)</f>
        <v>#N/A</v>
      </c>
    </row>
    <row r="173" spans="1:12" x14ac:dyDescent="0.25">
      <c r="A173" s="6" t="e">
        <f t="shared" si="12"/>
        <v>#N/A</v>
      </c>
      <c r="B173" s="7"/>
      <c r="C173" s="6"/>
      <c r="D173" s="6" t="e">
        <f>VLOOKUP(C173,RN_AN!$A$2:$B$100,2,FALSE)</f>
        <v>#N/A</v>
      </c>
      <c r="E173" s="8" t="e">
        <f t="shared" si="13"/>
        <v>#N/A</v>
      </c>
      <c r="F173" s="6" t="e">
        <f>VLOOKUP(D173,RN_AN!$B$3:$C$100,2,FALSE)</f>
        <v>#N/A</v>
      </c>
      <c r="G173" s="6"/>
      <c r="H173" s="6"/>
      <c r="I173" s="6"/>
      <c r="J173" s="6"/>
      <c r="K173" s="6"/>
      <c r="L173" s="30" t="e">
        <f>VLOOKUP(A173,UI!$L$3:$M$998,2,FALSE)</f>
        <v>#N/A</v>
      </c>
    </row>
    <row r="174" spans="1:12" x14ac:dyDescent="0.25">
      <c r="A174" s="6" t="e">
        <f t="shared" si="12"/>
        <v>#N/A</v>
      </c>
      <c r="B174" s="7"/>
      <c r="C174" s="6"/>
      <c r="D174" s="6" t="e">
        <f>VLOOKUP(C174,RN_AN!$A$2:$B$100,2,FALSE)</f>
        <v>#N/A</v>
      </c>
      <c r="E174" s="8" t="e">
        <f t="shared" si="13"/>
        <v>#N/A</v>
      </c>
      <c r="F174" s="6" t="e">
        <f>VLOOKUP(D174,RN_AN!$B$3:$C$100,2,FALSE)</f>
        <v>#N/A</v>
      </c>
      <c r="G174" s="6"/>
      <c r="H174" s="6"/>
      <c r="I174" s="6"/>
      <c r="J174" s="6"/>
      <c r="K174" s="6"/>
      <c r="L174" s="30" t="e">
        <f>VLOOKUP(A174,UI!$L$3:$M$998,2,FALSE)</f>
        <v>#N/A</v>
      </c>
    </row>
    <row r="175" spans="1:12" x14ac:dyDescent="0.25">
      <c r="A175" s="6" t="e">
        <f t="shared" si="12"/>
        <v>#N/A</v>
      </c>
      <c r="B175" s="7"/>
      <c r="C175" s="6"/>
      <c r="D175" s="6" t="e">
        <f>VLOOKUP(C175,RN_AN!$A$2:$B$100,2,FALSE)</f>
        <v>#N/A</v>
      </c>
      <c r="E175" s="8" t="e">
        <f t="shared" si="13"/>
        <v>#N/A</v>
      </c>
      <c r="F175" s="6" t="e">
        <f>VLOOKUP(D175,RN_AN!$B$3:$C$100,2,FALSE)</f>
        <v>#N/A</v>
      </c>
      <c r="G175" s="6"/>
      <c r="H175" s="6"/>
      <c r="I175" s="6"/>
      <c r="J175" s="6"/>
      <c r="K175" s="6"/>
      <c r="L175" s="30" t="e">
        <f>VLOOKUP(A175,UI!$L$3:$M$998,2,FALSE)</f>
        <v>#N/A</v>
      </c>
    </row>
    <row r="176" spans="1:12" x14ac:dyDescent="0.25">
      <c r="A176" s="6" t="e">
        <f t="shared" si="12"/>
        <v>#N/A</v>
      </c>
      <c r="B176" s="7"/>
      <c r="C176" s="6"/>
      <c r="D176" s="6" t="e">
        <f>VLOOKUP(C176,RN_AN!$A$2:$B$100,2,FALSE)</f>
        <v>#N/A</v>
      </c>
      <c r="E176" s="8" t="e">
        <f t="shared" si="13"/>
        <v>#N/A</v>
      </c>
      <c r="F176" s="6" t="e">
        <f>VLOOKUP(D176,RN_AN!$B$3:$C$100,2,FALSE)</f>
        <v>#N/A</v>
      </c>
      <c r="G176" s="6"/>
      <c r="H176" s="6"/>
      <c r="I176" s="6"/>
      <c r="J176" s="6"/>
      <c r="K176" s="6"/>
      <c r="L176" s="30" t="e">
        <f>VLOOKUP(A176,UI!$L$3:$M$998,2,FALSE)</f>
        <v>#N/A</v>
      </c>
    </row>
    <row r="177" spans="1:12" x14ac:dyDescent="0.25">
      <c r="A177" s="6" t="e">
        <f t="shared" si="12"/>
        <v>#N/A</v>
      </c>
      <c r="B177" s="7"/>
      <c r="C177" s="6"/>
      <c r="D177" s="6" t="e">
        <f>VLOOKUP(C177,RN_AN!$A$2:$B$100,2,FALSE)</f>
        <v>#N/A</v>
      </c>
      <c r="E177" s="8" t="e">
        <f t="shared" si="13"/>
        <v>#N/A</v>
      </c>
      <c r="F177" s="6" t="e">
        <f>VLOOKUP(D177,RN_AN!$B$3:$C$100,2,FALSE)</f>
        <v>#N/A</v>
      </c>
      <c r="G177" s="6"/>
      <c r="H177" s="6"/>
      <c r="I177" s="6"/>
      <c r="J177" s="6"/>
      <c r="K177" s="6"/>
      <c r="L177" s="30" t="e">
        <f>VLOOKUP(A177,UI!$L$3:$M$998,2,FALSE)</f>
        <v>#N/A</v>
      </c>
    </row>
    <row r="178" spans="1:12" x14ac:dyDescent="0.25">
      <c r="A178" s="6" t="e">
        <f t="shared" si="12"/>
        <v>#N/A</v>
      </c>
      <c r="B178" s="7"/>
      <c r="C178" s="6"/>
      <c r="D178" s="6" t="e">
        <f>VLOOKUP(C178,RN_AN!$A$2:$B$100,2,FALSE)</f>
        <v>#N/A</v>
      </c>
      <c r="E178" s="8" t="e">
        <f t="shared" si="13"/>
        <v>#N/A</v>
      </c>
      <c r="F178" s="6" t="e">
        <f>VLOOKUP(D178,RN_AN!$B$3:$C$100,2,FALSE)</f>
        <v>#N/A</v>
      </c>
      <c r="G178" s="6"/>
      <c r="H178" s="6"/>
      <c r="I178" s="6"/>
      <c r="J178" s="6"/>
      <c r="K178" s="6"/>
      <c r="L178" s="30" t="e">
        <f>VLOOKUP(A178,UI!$L$3:$M$998,2,FALSE)</f>
        <v>#N/A</v>
      </c>
    </row>
    <row r="179" spans="1:12" x14ac:dyDescent="0.25">
      <c r="A179" s="6" t="e">
        <f t="shared" si="12"/>
        <v>#N/A</v>
      </c>
      <c r="B179" s="7"/>
      <c r="C179" s="6"/>
      <c r="D179" s="6" t="e">
        <f>VLOOKUP(C179,RN_AN!$A$2:$B$100,2,FALSE)</f>
        <v>#N/A</v>
      </c>
      <c r="E179" s="8" t="e">
        <f t="shared" si="13"/>
        <v>#N/A</v>
      </c>
      <c r="F179" s="6" t="e">
        <f>VLOOKUP(D179,RN_AN!$B$3:$C$100,2,FALSE)</f>
        <v>#N/A</v>
      </c>
      <c r="G179" s="6"/>
      <c r="H179" s="6"/>
      <c r="I179" s="6"/>
      <c r="J179" s="6"/>
      <c r="K179" s="6"/>
      <c r="L179" s="30" t="e">
        <f>VLOOKUP(A179,UI!$L$3:$M$998,2,FALSE)</f>
        <v>#N/A</v>
      </c>
    </row>
    <row r="180" spans="1:12" x14ac:dyDescent="0.25">
      <c r="A180" s="6" t="e">
        <f t="shared" si="12"/>
        <v>#N/A</v>
      </c>
      <c r="B180" s="7"/>
      <c r="C180" s="6"/>
      <c r="D180" s="6" t="e">
        <f>VLOOKUP(C180,RN_AN!$A$2:$B$100,2,FALSE)</f>
        <v>#N/A</v>
      </c>
      <c r="E180" s="8" t="e">
        <f t="shared" si="13"/>
        <v>#N/A</v>
      </c>
      <c r="F180" s="6" t="e">
        <f>VLOOKUP(D180,RN_AN!$B$3:$C$100,2,FALSE)</f>
        <v>#N/A</v>
      </c>
      <c r="G180" s="6"/>
      <c r="H180" s="6"/>
      <c r="I180" s="6"/>
      <c r="J180" s="6"/>
      <c r="K180" s="6"/>
      <c r="L180" s="30" t="e">
        <f>VLOOKUP(A180,UI!$L$3:$M$998,2,FALSE)</f>
        <v>#N/A</v>
      </c>
    </row>
    <row r="181" spans="1:12" x14ac:dyDescent="0.25">
      <c r="A181" s="6" t="e">
        <f t="shared" si="12"/>
        <v>#N/A</v>
      </c>
      <c r="B181" s="7"/>
      <c r="C181" s="6"/>
      <c r="D181" s="6" t="e">
        <f>VLOOKUP(C181,RN_AN!$A$2:$B$100,2,FALSE)</f>
        <v>#N/A</v>
      </c>
      <c r="E181" s="8" t="e">
        <f t="shared" si="13"/>
        <v>#N/A</v>
      </c>
      <c r="F181" s="6" t="e">
        <f>VLOOKUP(D181,RN_AN!$B$3:$C$100,2,FALSE)</f>
        <v>#N/A</v>
      </c>
      <c r="G181" s="6"/>
      <c r="H181" s="6"/>
      <c r="I181" s="6"/>
      <c r="J181" s="6"/>
      <c r="K181" s="6"/>
      <c r="L181" s="30" t="e">
        <f>VLOOKUP(A181,UI!$L$3:$M$998,2,FALSE)</f>
        <v>#N/A</v>
      </c>
    </row>
    <row r="182" spans="1:12" x14ac:dyDescent="0.25">
      <c r="A182" s="6" t="e">
        <f t="shared" si="12"/>
        <v>#N/A</v>
      </c>
      <c r="B182" s="7"/>
      <c r="C182" s="6"/>
      <c r="D182" s="6" t="e">
        <f>VLOOKUP(C182,RN_AN!$A$2:$B$100,2,FALSE)</f>
        <v>#N/A</v>
      </c>
      <c r="E182" s="8" t="e">
        <f t="shared" si="13"/>
        <v>#N/A</v>
      </c>
      <c r="F182" s="6" t="e">
        <f>VLOOKUP(D182,RN_AN!$B$3:$C$100,2,FALSE)</f>
        <v>#N/A</v>
      </c>
      <c r="G182" s="6"/>
      <c r="H182" s="6"/>
      <c r="I182" s="6"/>
      <c r="J182" s="6"/>
      <c r="K182" s="6"/>
      <c r="L182" s="30" t="e">
        <f>VLOOKUP(A182,UI!$L$3:$M$998,2,FALSE)</f>
        <v>#N/A</v>
      </c>
    </row>
    <row r="183" spans="1:12" x14ac:dyDescent="0.25">
      <c r="A183" s="6" t="e">
        <f t="shared" si="12"/>
        <v>#N/A</v>
      </c>
      <c r="B183" s="7"/>
      <c r="C183" s="6"/>
      <c r="D183" s="6" t="e">
        <f>VLOOKUP(C183,RN_AN!$A$2:$B$100,2,FALSE)</f>
        <v>#N/A</v>
      </c>
      <c r="E183" s="8" t="e">
        <f t="shared" si="13"/>
        <v>#N/A</v>
      </c>
      <c r="F183" s="6" t="e">
        <f>VLOOKUP(D183,RN_AN!$B$3:$C$100,2,FALSE)</f>
        <v>#N/A</v>
      </c>
      <c r="G183" s="6"/>
      <c r="H183" s="6"/>
      <c r="I183" s="6"/>
      <c r="J183" s="6"/>
      <c r="K183" s="6"/>
      <c r="L183" s="30" t="e">
        <f>VLOOKUP(A183,UI!$L$3:$M$998,2,FALSE)</f>
        <v>#N/A</v>
      </c>
    </row>
    <row r="184" spans="1:12" x14ac:dyDescent="0.25">
      <c r="A184" s="6" t="e">
        <f t="shared" si="12"/>
        <v>#N/A</v>
      </c>
      <c r="B184" s="7"/>
      <c r="C184" s="6"/>
      <c r="D184" s="6" t="e">
        <f>VLOOKUP(C184,RN_AN!$A$2:$B$100,2,FALSE)</f>
        <v>#N/A</v>
      </c>
      <c r="E184" s="8" t="e">
        <f t="shared" si="13"/>
        <v>#N/A</v>
      </c>
      <c r="F184" s="6" t="e">
        <f>VLOOKUP(D184,RN_AN!$B$3:$C$100,2,FALSE)</f>
        <v>#N/A</v>
      </c>
      <c r="G184" s="6"/>
      <c r="H184" s="6"/>
      <c r="I184" s="6"/>
      <c r="J184" s="6"/>
      <c r="K184" s="6"/>
      <c r="L184" s="30" t="e">
        <f>VLOOKUP(A184,UI!$L$3:$M$998,2,FALSE)</f>
        <v>#N/A</v>
      </c>
    </row>
    <row r="185" spans="1:12" x14ac:dyDescent="0.25">
      <c r="A185" s="6" t="e">
        <f t="shared" si="12"/>
        <v>#N/A</v>
      </c>
      <c r="B185" s="7"/>
      <c r="C185" s="6"/>
      <c r="D185" s="6" t="e">
        <f>VLOOKUP(C185,RN_AN!$A$2:$B$100,2,FALSE)</f>
        <v>#N/A</v>
      </c>
      <c r="E185" s="8" t="e">
        <f t="shared" si="13"/>
        <v>#N/A</v>
      </c>
      <c r="F185" s="6" t="e">
        <f>VLOOKUP(D185,RN_AN!$B$3:$C$100,2,FALSE)</f>
        <v>#N/A</v>
      </c>
      <c r="G185" s="6"/>
      <c r="H185" s="6"/>
      <c r="I185" s="6"/>
      <c r="J185" s="6"/>
      <c r="K185" s="6"/>
      <c r="L185" s="30" t="e">
        <f>VLOOKUP(A185,UI!$L$3:$M$998,2,FALSE)</f>
        <v>#N/A</v>
      </c>
    </row>
    <row r="186" spans="1:12" x14ac:dyDescent="0.25">
      <c r="A186" s="6" t="e">
        <f t="shared" si="12"/>
        <v>#N/A</v>
      </c>
      <c r="B186" s="7"/>
      <c r="C186" s="6"/>
      <c r="D186" s="6" t="e">
        <f>VLOOKUP(C186,RN_AN!$A$2:$B$100,2,FALSE)</f>
        <v>#N/A</v>
      </c>
      <c r="E186" s="8" t="e">
        <f t="shared" si="13"/>
        <v>#N/A</v>
      </c>
      <c r="F186" s="6" t="e">
        <f>VLOOKUP(D186,RN_AN!$B$3:$C$100,2,FALSE)</f>
        <v>#N/A</v>
      </c>
      <c r="G186" s="6"/>
      <c r="H186" s="6"/>
      <c r="I186" s="6"/>
      <c r="J186" s="6"/>
      <c r="K186" s="6"/>
      <c r="L186" s="30" t="e">
        <f>VLOOKUP(A186,UI!$L$3:$M$998,2,FALSE)</f>
        <v>#N/A</v>
      </c>
    </row>
    <row r="187" spans="1:12" x14ac:dyDescent="0.25">
      <c r="A187" s="6" t="e">
        <f t="shared" si="12"/>
        <v>#N/A</v>
      </c>
      <c r="B187" s="7"/>
      <c r="C187" s="6"/>
      <c r="D187" s="6" t="e">
        <f>VLOOKUP(C187,RN_AN!$A$2:$B$100,2,FALSE)</f>
        <v>#N/A</v>
      </c>
      <c r="E187" s="8" t="e">
        <f t="shared" si="13"/>
        <v>#N/A</v>
      </c>
      <c r="F187" s="6" t="e">
        <f>VLOOKUP(D187,RN_AN!$B$3:$C$100,2,FALSE)</f>
        <v>#N/A</v>
      </c>
      <c r="G187" s="6"/>
      <c r="H187" s="6"/>
      <c r="I187" s="6"/>
      <c r="J187" s="6"/>
      <c r="K187" s="6"/>
      <c r="L187" s="30" t="e">
        <f>VLOOKUP(A187,UI!$L$3:$M$998,2,FALSE)</f>
        <v>#N/A</v>
      </c>
    </row>
    <row r="188" spans="1:12" x14ac:dyDescent="0.25">
      <c r="A188" s="6" t="e">
        <f t="shared" si="12"/>
        <v>#N/A</v>
      </c>
      <c r="B188" s="7"/>
      <c r="C188" s="6"/>
      <c r="D188" s="6" t="e">
        <f>VLOOKUP(C188,RN_AN!$A$2:$B$100,2,FALSE)</f>
        <v>#N/A</v>
      </c>
      <c r="E188" s="8" t="e">
        <f t="shared" si="13"/>
        <v>#N/A</v>
      </c>
      <c r="F188" s="6" t="e">
        <f>VLOOKUP(D188,RN_AN!$B$3:$C$100,2,FALSE)</f>
        <v>#N/A</v>
      </c>
      <c r="G188" s="6"/>
      <c r="H188" s="6"/>
      <c r="I188" s="6"/>
      <c r="J188" s="6"/>
      <c r="K188" s="6"/>
      <c r="L188" s="30" t="e">
        <f>VLOOKUP(A188,UI!$L$3:$M$998,2,FALSE)</f>
        <v>#N/A</v>
      </c>
    </row>
    <row r="189" spans="1:12" x14ac:dyDescent="0.25">
      <c r="A189" s="6" t="e">
        <f t="shared" si="12"/>
        <v>#N/A</v>
      </c>
      <c r="B189" s="7"/>
      <c r="C189" s="6"/>
      <c r="D189" s="6" t="e">
        <f>VLOOKUP(C189,RN_AN!$A$2:$B$100,2,FALSE)</f>
        <v>#N/A</v>
      </c>
      <c r="E189" s="8" t="e">
        <f t="shared" si="13"/>
        <v>#N/A</v>
      </c>
      <c r="F189" s="6" t="e">
        <f>VLOOKUP(D189,RN_AN!$B$3:$C$100,2,FALSE)</f>
        <v>#N/A</v>
      </c>
      <c r="G189" s="6"/>
      <c r="H189" s="6"/>
      <c r="I189" s="6"/>
      <c r="J189" s="6"/>
      <c r="K189" s="6"/>
      <c r="L189" s="30" t="e">
        <f>VLOOKUP(A189,UI!$L$3:$M$998,2,FALSE)</f>
        <v>#N/A</v>
      </c>
    </row>
    <row r="190" spans="1:12" x14ac:dyDescent="0.25">
      <c r="A190" s="6" t="e">
        <f t="shared" si="12"/>
        <v>#N/A</v>
      </c>
      <c r="B190" s="7"/>
      <c r="C190" s="6"/>
      <c r="D190" s="6" t="e">
        <f>VLOOKUP(C190,RN_AN!$A$2:$B$100,2,FALSE)</f>
        <v>#N/A</v>
      </c>
      <c r="E190" s="8" t="e">
        <f t="shared" si="13"/>
        <v>#N/A</v>
      </c>
      <c r="F190" s="6" t="e">
        <f>VLOOKUP(D190,RN_AN!$B$3:$C$100,2,FALSE)</f>
        <v>#N/A</v>
      </c>
      <c r="G190" s="6"/>
      <c r="H190" s="6"/>
      <c r="I190" s="6"/>
      <c r="J190" s="6"/>
      <c r="K190" s="6"/>
      <c r="L190" s="30" t="e">
        <f>VLOOKUP(A190,UI!$L$3:$M$998,2,FALSE)</f>
        <v>#N/A</v>
      </c>
    </row>
    <row r="191" spans="1:12" x14ac:dyDescent="0.25">
      <c r="A191" s="6" t="e">
        <f t="shared" si="12"/>
        <v>#N/A</v>
      </c>
      <c r="B191" s="7"/>
      <c r="C191" s="6"/>
      <c r="D191" s="6" t="e">
        <f>VLOOKUP(C191,RN_AN!$A$2:$B$100,2,FALSE)</f>
        <v>#N/A</v>
      </c>
      <c r="E191" s="8" t="e">
        <f t="shared" si="13"/>
        <v>#N/A</v>
      </c>
      <c r="F191" s="6" t="e">
        <f>VLOOKUP(D191,RN_AN!$B$3:$C$100,2,FALSE)</f>
        <v>#N/A</v>
      </c>
      <c r="G191" s="6"/>
      <c r="H191" s="6"/>
      <c r="I191" s="6"/>
      <c r="J191" s="6"/>
      <c r="K191" s="6"/>
      <c r="L191" s="30" t="e">
        <f>VLOOKUP(A191,UI!$L$3:$M$998,2,FALSE)</f>
        <v>#N/A</v>
      </c>
    </row>
    <row r="192" spans="1:12" x14ac:dyDescent="0.25">
      <c r="A192" s="6" t="e">
        <f t="shared" si="12"/>
        <v>#N/A</v>
      </c>
      <c r="B192" s="7"/>
      <c r="C192" s="6"/>
      <c r="D192" s="6" t="e">
        <f>VLOOKUP(C192,RN_AN!$A$2:$B$100,2,FALSE)</f>
        <v>#N/A</v>
      </c>
      <c r="E192" s="8" t="e">
        <f t="shared" si="13"/>
        <v>#N/A</v>
      </c>
      <c r="F192" s="6" t="e">
        <f>VLOOKUP(D192,RN_AN!$B$3:$C$100,2,FALSE)</f>
        <v>#N/A</v>
      </c>
      <c r="G192" s="6"/>
      <c r="H192" s="6"/>
      <c r="I192" s="6"/>
      <c r="J192" s="6"/>
      <c r="K192" s="6"/>
      <c r="L192" s="30" t="e">
        <f>VLOOKUP(A192,UI!$L$3:$M$998,2,FALSE)</f>
        <v>#N/A</v>
      </c>
    </row>
    <row r="193" spans="1:12" x14ac:dyDescent="0.25">
      <c r="A193" s="6" t="e">
        <f t="shared" si="12"/>
        <v>#N/A</v>
      </c>
      <c r="B193" s="7"/>
      <c r="C193" s="6"/>
      <c r="D193" s="6" t="e">
        <f>VLOOKUP(C193,RN_AN!$A$2:$B$100,2,FALSE)</f>
        <v>#N/A</v>
      </c>
      <c r="E193" s="8" t="e">
        <f t="shared" si="13"/>
        <v>#N/A</v>
      </c>
      <c r="F193" s="6" t="e">
        <f>VLOOKUP(D193,RN_AN!$B$3:$C$100,2,FALSE)</f>
        <v>#N/A</v>
      </c>
      <c r="G193" s="6"/>
      <c r="H193" s="6"/>
      <c r="I193" s="29"/>
      <c r="J193" s="30"/>
      <c r="K193" s="6"/>
      <c r="L193" s="30" t="e">
        <f>VLOOKUP(A193,UI!$L$3:$M$998,2,FALSE)</f>
        <v>#N/A</v>
      </c>
    </row>
    <row r="194" spans="1:12" x14ac:dyDescent="0.25">
      <c r="A194" s="6" t="e">
        <f t="shared" si="12"/>
        <v>#N/A</v>
      </c>
      <c r="B194" s="7"/>
      <c r="C194" s="6"/>
      <c r="D194" s="6" t="e">
        <f>VLOOKUP(C194,RN_AN!$A$2:$B$100,2,FALSE)</f>
        <v>#N/A</v>
      </c>
      <c r="E194" s="8" t="e">
        <f t="shared" si="13"/>
        <v>#N/A</v>
      </c>
      <c r="F194" s="6" t="e">
        <f>VLOOKUP(D194,RN_AN!$B$3:$C$100,2,FALSE)</f>
        <v>#N/A</v>
      </c>
      <c r="G194" s="6"/>
      <c r="H194" s="6"/>
      <c r="I194" s="29"/>
      <c r="J194" s="30"/>
      <c r="K194" s="6"/>
      <c r="L194" s="30" t="e">
        <f>VLOOKUP(A194,UI!$L$3:$M$998,2,FALSE)</f>
        <v>#N/A</v>
      </c>
    </row>
    <row r="195" spans="1:12" x14ac:dyDescent="0.25">
      <c r="A195" s="6" t="e">
        <f t="shared" si="12"/>
        <v>#N/A</v>
      </c>
      <c r="B195" s="7"/>
      <c r="C195" s="6"/>
      <c r="D195" s="6" t="e">
        <f>VLOOKUP(C195,RN_AN!$A$2:$B$100,2,FALSE)</f>
        <v>#N/A</v>
      </c>
      <c r="E195" s="8" t="e">
        <f t="shared" si="13"/>
        <v>#N/A</v>
      </c>
      <c r="F195" s="6" t="e">
        <f>VLOOKUP(D195,RN_AN!$B$3:$C$100,2,FALSE)</f>
        <v>#N/A</v>
      </c>
      <c r="G195" s="6"/>
      <c r="H195" s="6"/>
      <c r="I195" s="29"/>
      <c r="J195" s="30"/>
      <c r="K195" s="6"/>
      <c r="L195" s="30" t="e">
        <f>VLOOKUP(A195,UI!$L$3:$M$998,2,FALSE)</f>
        <v>#N/A</v>
      </c>
    </row>
    <row r="196" spans="1:12" x14ac:dyDescent="0.25">
      <c r="A196" s="6" t="e">
        <f t="shared" si="12"/>
        <v>#N/A</v>
      </c>
      <c r="B196" s="7"/>
      <c r="C196" s="6"/>
      <c r="D196" s="6" t="e">
        <f>VLOOKUP(C196,RN_AN!$A$2:$B$100,2,FALSE)</f>
        <v>#N/A</v>
      </c>
      <c r="E196" s="8" t="e">
        <f t="shared" si="13"/>
        <v>#N/A</v>
      </c>
      <c r="F196" s="6" t="e">
        <f>VLOOKUP(D196,RN_AN!$B$3:$C$100,2,FALSE)</f>
        <v>#N/A</v>
      </c>
      <c r="G196" s="6"/>
      <c r="H196" s="6"/>
      <c r="I196" s="6"/>
      <c r="J196" s="6"/>
      <c r="K196" s="6"/>
      <c r="L196" s="30" t="e">
        <f>VLOOKUP(A196,UI!$L$3:$M$998,2,FALSE)</f>
        <v>#N/A</v>
      </c>
    </row>
    <row r="197" spans="1:12" x14ac:dyDescent="0.25">
      <c r="I197" s="33"/>
      <c r="J197" s="34"/>
      <c r="K197" s="34"/>
    </row>
    <row r="198" spans="1:12" x14ac:dyDescent="0.25">
      <c r="I198" s="33"/>
      <c r="J198" s="34"/>
      <c r="K198" s="34"/>
    </row>
  </sheetData>
  <autoFilter ref="A2:L198">
    <filterColumn colId="6">
      <filters>
        <filter val="Activo"/>
      </filters>
    </filterColumn>
  </autoFilter>
  <sortState ref="A8:L141">
    <sortCondition ref="A3:A196"/>
  </sortState>
  <mergeCells count="3">
    <mergeCell ref="N2:O2"/>
    <mergeCell ref="A1:B1"/>
    <mergeCell ref="C1:D1"/>
  </mergeCells>
  <conditionalFormatting sqref="B74:B78">
    <cfRule type="expression" dxfId="136" priority="56">
      <formula>$G74="Inactivo"</formula>
    </cfRule>
  </conditionalFormatting>
  <conditionalFormatting sqref="A3:L192">
    <cfRule type="expression" dxfId="135" priority="65">
      <formula>$G3="Inactivo"</formula>
    </cfRule>
  </conditionalFormatting>
  <conditionalFormatting sqref="A193:L193">
    <cfRule type="expression" dxfId="134" priority="36">
      <formula>$G193="Inactivo"</formula>
    </cfRule>
  </conditionalFormatting>
  <conditionalFormatting sqref="A194:L194">
    <cfRule type="expression" dxfId="133" priority="22">
      <formula>$G194="Inactivo"</formula>
    </cfRule>
  </conditionalFormatting>
  <conditionalFormatting sqref="A195:L196">
    <cfRule type="expression" dxfId="132" priority="8">
      <formula>$G195="Inactivo"</formula>
    </cfRule>
  </conditionalFormatting>
  <dataValidations count="3">
    <dataValidation type="list" allowBlank="1" showInputMessage="1" showErrorMessage="1" sqref="C3:C196">
      <formula1>RN_AN</formula1>
    </dataValidation>
    <dataValidation type="list" allowBlank="1" showInputMessage="1" showErrorMessage="1" sqref="K3:K196">
      <formula1>Tipo_Requerimiento</formula1>
    </dataValidation>
    <dataValidation type="list" allowBlank="1" showInputMessage="1" showErrorMessage="1" sqref="L8:L23 L32:L57 L59:L108 L113:L116 L118:L141">
      <formula1>Procesos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43" id="{98D857C6-0F87-4992-A7A5-E281A602B495}">
            <xm:f>$F3=RN_AN!$G$14</xm:f>
            <x14:dxf>
              <font>
                <b val="0"/>
                <i val="0"/>
              </font>
              <fill>
                <patternFill>
                  <bgColor rgb="FF66FFFF"/>
                </patternFill>
              </fill>
            </x14:dxf>
          </x14:cfRule>
          <x14:cfRule type="expression" priority="45" id="{D45262B6-DBE7-4D46-BE23-FAC35D2DAFCF}">
            <xm:f>$F3=RN_AN!$G$13</xm:f>
            <x14:dxf>
              <font>
                <color theme="0"/>
              </font>
              <fill>
                <patternFill>
                  <bgColor theme="2" tint="-0.749961851863155"/>
                </patternFill>
              </fill>
            </x14:dxf>
          </x14:cfRule>
          <x14:cfRule type="expression" priority="46" id="{AF5825E3-8934-4ABC-9887-4D4F9E98AFC7}">
            <xm:f>$F3=RN_AN!$G$12</xm:f>
            <x14:dxf>
              <fill>
                <patternFill>
                  <bgColor theme="7"/>
                </patternFill>
              </fill>
            </x14:dxf>
          </x14:cfRule>
          <x14:cfRule type="expression" priority="47" id="{77F8DE0F-C13A-4CEE-A22F-413FBC29AD1C}">
            <xm:f>$F3=RN_AN!$G$11</xm:f>
            <x14:dxf>
              <fill>
                <patternFill>
                  <bgColor theme="4" tint="0.59996337778862885"/>
                </patternFill>
              </fill>
            </x14:dxf>
          </x14:cfRule>
          <x14:cfRule type="expression" priority="51" id="{A5C31239-25FA-4FA2-8783-CA1E912B5BF8}">
            <xm:f>$F3=RN_AN!$G$10</xm:f>
            <x14:dxf>
              <font>
                <b val="0"/>
                <i val="0"/>
                <color theme="0"/>
              </font>
              <fill>
                <patternFill>
                  <bgColor rgb="FF7030A0"/>
                </patternFill>
              </fill>
            </x14:dxf>
          </x14:cfRule>
          <x14:cfRule type="expression" priority="52" id="{F9CB4958-ADDB-4348-AB3C-992C626AAC55}">
            <xm:f>$F3=RN_AN!$G$9</xm:f>
            <x14:dxf>
              <font>
                <b val="0"/>
                <i val="0"/>
              </font>
              <fill>
                <patternFill>
                  <bgColor rgb="FF00FF00"/>
                </patternFill>
              </fill>
            </x14:dxf>
          </x14:cfRule>
          <x14:cfRule type="expression" priority="63" id="{8BBF26C8-D6D3-451A-BED8-CC543CFF83D1}">
            <xm:f>$F3=RN_AN!$G$8</xm:f>
            <x14:dxf>
              <font>
                <color theme="0"/>
              </font>
              <fill>
                <patternFill>
                  <bgColor rgb="FF002060"/>
                </patternFill>
              </fill>
            </x14:dxf>
          </x14:cfRule>
          <x14:cfRule type="expression" priority="72" id="{2C9ADCA3-05C3-4C3B-B172-DE583D605E89}">
            <xm:f>$F3=RN_AN!$G$7</xm:f>
            <x14:dxf>
              <fill>
                <patternFill>
                  <bgColor rgb="FFFF66FF"/>
                </patternFill>
              </fill>
            </x14:dxf>
          </x14:cfRule>
          <x14:cfRule type="expression" priority="73" id="{3C4D7192-D194-4C23-A7AD-5AB763263B10}">
            <xm:f>$F3=RN_AN!$G$6</xm:f>
            <x14:dxf>
              <fill>
                <patternFill>
                  <bgColor rgb="FFFF0000"/>
                </patternFill>
              </fill>
            </x14:dxf>
          </x14:cfRule>
          <x14:cfRule type="expression" priority="74" id="{F22E644D-2B55-468E-9AF4-2FF465684D48}">
            <xm:f>$F3=RN_AN!$G$5</xm:f>
            <x14:dxf>
              <fill>
                <patternFill>
                  <bgColor rgb="FF00B050"/>
                </patternFill>
              </fill>
            </x14:dxf>
          </x14:cfRule>
          <x14:cfRule type="expression" priority="75" id="{63586C59-9E17-4A47-822D-BF3FFECD6A9E}">
            <xm:f>$F3=RN_AN!$G$4</xm:f>
            <x14:dxf>
              <fill>
                <patternFill>
                  <bgColor rgb="FF00B0F0"/>
                </patternFill>
              </fill>
            </x14:dxf>
          </x14:cfRule>
          <x14:cfRule type="expression" priority="76" id="{1021D5F6-81F1-4ECB-A6F4-DF3E26B12EA6}">
            <xm:f>$F3=RN_AN!$G$3</xm:f>
            <x14:dxf>
              <fill>
                <patternFill>
                  <bgColor rgb="FFFFFF00"/>
                </patternFill>
              </fill>
            </x14:dxf>
          </x14:cfRule>
          <x14:cfRule type="expression" priority="89" id="{93B4A5F5-5709-4472-91A6-ED6217201CF9}">
            <xm:f>$F3=RN_AN!$G$2</xm:f>
            <x14:dxf>
              <fill>
                <patternFill>
                  <bgColor theme="5"/>
                </patternFill>
              </fill>
            </x14:dxf>
          </x14:cfRule>
          <xm:sqref>A3:L192</xm:sqref>
        </x14:conditionalFormatting>
        <x14:conditionalFormatting xmlns:xm="http://schemas.microsoft.com/office/excel/2006/main">
          <x14:cfRule type="expression" priority="55" id="{AA30BF70-C7D0-4780-9629-D11511188F5E}">
            <xm:f>$F74=RN_AN!$G$8</xm:f>
            <x14:dxf>
              <font>
                <color theme="0"/>
              </font>
              <fill>
                <patternFill>
                  <bgColor rgb="FF002060"/>
                </patternFill>
              </fill>
            </x14:dxf>
          </x14:cfRule>
          <x14:cfRule type="expression" priority="57" id="{7B958CF1-CD56-4932-9659-4A794F880E19}">
            <xm:f>$F74=RN_AN!$G$7</xm:f>
            <x14:dxf>
              <fill>
                <patternFill>
                  <bgColor rgb="FFFF66FF"/>
                </patternFill>
              </fill>
            </x14:dxf>
          </x14:cfRule>
          <x14:cfRule type="expression" priority="58" id="{BC59DB4E-4E3D-4F6C-B119-2236673645AA}">
            <xm:f>$F74=RN_AN!$G$6</xm:f>
            <x14:dxf>
              <fill>
                <patternFill>
                  <bgColor rgb="FFFF0000"/>
                </patternFill>
              </fill>
            </x14:dxf>
          </x14:cfRule>
          <x14:cfRule type="expression" priority="59" id="{92F2C628-BB86-4BB3-B98C-F2CCBFA634ED}">
            <xm:f>$F74=RN_AN!$G$5</xm:f>
            <x14:dxf>
              <fill>
                <patternFill>
                  <bgColor rgb="FF00B050"/>
                </patternFill>
              </fill>
            </x14:dxf>
          </x14:cfRule>
          <x14:cfRule type="expression" priority="60" id="{381FC1C5-DDB5-4CA3-A1A0-B749D1FB2906}">
            <xm:f>$F74=RN_AN!$G$4</xm:f>
            <x14:dxf>
              <fill>
                <patternFill>
                  <bgColor rgb="FF00B0F0"/>
                </patternFill>
              </fill>
            </x14:dxf>
          </x14:cfRule>
          <x14:cfRule type="expression" priority="61" id="{6B0553F7-D926-4AA2-8DFE-35DDEB719724}">
            <xm:f>$F74=RN_AN!$G$3</xm:f>
            <x14:dxf>
              <fill>
                <patternFill>
                  <bgColor rgb="FFFFFF00"/>
                </patternFill>
              </fill>
            </x14:dxf>
          </x14:cfRule>
          <x14:cfRule type="expression" priority="62" id="{FA887299-57B8-4237-8DD5-F244F9A9E8EE}">
            <xm:f>$F74=RN_AN!$G$2</xm:f>
            <x14:dxf>
              <fill>
                <patternFill>
                  <bgColor theme="5"/>
                </patternFill>
              </fill>
            </x14:dxf>
          </x14:cfRule>
          <xm:sqref>B74:B78</xm:sqref>
        </x14:conditionalFormatting>
        <x14:conditionalFormatting xmlns:xm="http://schemas.microsoft.com/office/excel/2006/main">
          <x14:cfRule type="expression" priority="44" id="{65655EA0-81E5-4859-B396-1B665BBCE6E4}">
            <xm:f>$O4=RN_AN!$G$14</xm:f>
            <x14:dxf>
              <font>
                <b val="0"/>
                <i val="0"/>
              </font>
              <fill>
                <patternFill>
                  <bgColor rgb="FF66FFFF"/>
                </patternFill>
              </fill>
            </x14:dxf>
          </x14:cfRule>
          <x14:cfRule type="expression" priority="48" id="{C3898927-08D1-4689-8351-2A2AA91C0590}">
            <xm:f>$O4=RN_AN!$G$13</xm:f>
            <x14:dxf>
              <font>
                <color theme="0"/>
              </font>
              <fill>
                <patternFill>
                  <bgColor theme="2" tint="-0.749961851863155"/>
                </patternFill>
              </fill>
            </x14:dxf>
          </x14:cfRule>
          <x14:cfRule type="expression" priority="49" id="{6061B788-F38A-47F5-93F1-BE3D26AB686C}">
            <xm:f>$O4=RN_AN!$G$12</xm:f>
            <x14:dxf>
              <fill>
                <patternFill>
                  <bgColor theme="7"/>
                </patternFill>
              </fill>
            </x14:dxf>
          </x14:cfRule>
          <x14:cfRule type="expression" priority="50" id="{6BF3FA1D-D1CB-492F-AD04-6E3BF2F8CCE2}">
            <xm:f>$O4=RN_AN!$G$11</xm:f>
            <x14:dxf>
              <fill>
                <patternFill>
                  <bgColor theme="4" tint="0.59996337778862885"/>
                </patternFill>
              </fill>
            </x14:dxf>
          </x14:cfRule>
          <x14:cfRule type="expression" priority="53" id="{F066229C-4D3E-4198-9064-B57C24F2B948}">
            <xm:f>$O4=RN_AN!$G$10</xm:f>
            <x14:dxf>
              <font>
                <b val="0"/>
                <i val="0"/>
                <color theme="0"/>
              </font>
              <fill>
                <patternFill>
                  <bgColor rgb="FF7030A0"/>
                </patternFill>
              </fill>
            </x14:dxf>
          </x14:cfRule>
          <x14:cfRule type="expression" priority="54" id="{6C29B77C-8C27-411A-A866-811139B46FB0}">
            <xm:f>$O4=RN_AN!$G$9</xm:f>
            <x14:dxf>
              <font>
                <b val="0"/>
                <i val="0"/>
              </font>
              <fill>
                <patternFill>
                  <bgColor rgb="FF00FF00"/>
                </patternFill>
              </fill>
            </x14:dxf>
          </x14:cfRule>
          <x14:cfRule type="expression" priority="64" id="{E349F459-1D49-44DC-A050-AF7626CB9A89}">
            <xm:f>$O4=RN_AN!$G$8</xm:f>
            <x14:dxf>
              <font>
                <color theme="0"/>
              </font>
              <fill>
                <patternFill>
                  <bgColor rgb="FF002060"/>
                </patternFill>
              </fill>
            </x14:dxf>
          </x14:cfRule>
          <x14:cfRule type="expression" priority="66" id="{60980DA2-8EB2-4D73-8A72-3B57C5943E01}">
            <xm:f>$O4=RN_AN!$G$7</xm:f>
            <x14:dxf>
              <fill>
                <patternFill>
                  <bgColor rgb="FFFF66FF"/>
                </patternFill>
              </fill>
            </x14:dxf>
          </x14:cfRule>
          <x14:cfRule type="expression" priority="67" id="{6731352C-5D7B-4327-904C-1934C05AE5FD}">
            <xm:f>$O4=RN_AN!$G$6</xm:f>
            <x14:dxf>
              <fill>
                <patternFill>
                  <bgColor rgb="FFFF0000"/>
                </patternFill>
              </fill>
            </x14:dxf>
          </x14:cfRule>
          <x14:cfRule type="expression" priority="68" id="{3C87DB14-84B1-4390-B3F2-2A9A990CE6EF}">
            <xm:f>$O4=RN_AN!$G$5</xm:f>
            <x14:dxf>
              <fill>
                <patternFill>
                  <bgColor rgb="FF00B050"/>
                </patternFill>
              </fill>
            </x14:dxf>
          </x14:cfRule>
          <x14:cfRule type="expression" priority="69" id="{D054674E-E2CA-465F-8424-ABCB1443C758}">
            <xm:f>$O4=RN_AN!$G$4</xm:f>
            <x14:dxf>
              <fill>
                <patternFill>
                  <bgColor rgb="FF00B0F0"/>
                </patternFill>
              </fill>
            </x14:dxf>
          </x14:cfRule>
          <x14:cfRule type="expression" priority="70" id="{48AB1D84-9A04-462B-A9EC-C9403097CA17}">
            <xm:f>$O4=RN_AN!$G$3</xm:f>
            <x14:dxf>
              <fill>
                <patternFill>
                  <bgColor rgb="FFFFFF00"/>
                </patternFill>
              </fill>
            </x14:dxf>
          </x14:cfRule>
          <x14:cfRule type="expression" priority="71" id="{0EB60B08-BA41-4403-B58C-FB9F70E24576}">
            <xm:f>$O4=RN_AN!$G$2</xm:f>
            <x14:dxf>
              <fill>
                <patternFill>
                  <bgColor theme="5"/>
                </patternFill>
              </fill>
            </x14:dxf>
          </x14:cfRule>
          <xm:sqref>N4:O50</xm:sqref>
        </x14:conditionalFormatting>
        <x14:conditionalFormatting xmlns:xm="http://schemas.microsoft.com/office/excel/2006/main">
          <x14:cfRule type="expression" priority="29" id="{E7107BF7-6885-40A1-8143-C9EF22AF0D91}">
            <xm:f>$F193=RN_AN!$G$14</xm:f>
            <x14:dxf>
              <font>
                <b val="0"/>
                <i val="0"/>
              </font>
              <fill>
                <patternFill>
                  <bgColor rgb="FF66FFFF"/>
                </patternFill>
              </fill>
            </x14:dxf>
          </x14:cfRule>
          <x14:cfRule type="expression" priority="30" id="{AC7E3C4B-7FB0-4E4E-9FF3-DEC1CD0F720B}">
            <xm:f>$F193=RN_AN!$G$13</xm:f>
            <x14:dxf>
              <font>
                <color theme="0"/>
              </font>
              <fill>
                <patternFill>
                  <bgColor theme="2" tint="-0.749961851863155"/>
                </patternFill>
              </fill>
            </x14:dxf>
          </x14:cfRule>
          <x14:cfRule type="expression" priority="31" id="{77BD3CC3-5768-4865-AAF9-DCFD6AB6F497}">
            <xm:f>$F193=RN_AN!$G$12</xm:f>
            <x14:dxf>
              <fill>
                <patternFill>
                  <bgColor theme="7"/>
                </patternFill>
              </fill>
            </x14:dxf>
          </x14:cfRule>
          <x14:cfRule type="expression" priority="32" id="{DD0A0D3E-DB07-4AB8-89C4-161AAEAA1959}">
            <xm:f>$F193=RN_AN!$G$11</xm:f>
            <x14:dxf>
              <fill>
                <patternFill>
                  <bgColor theme="4" tint="0.59996337778862885"/>
                </patternFill>
              </fill>
            </x14:dxf>
          </x14:cfRule>
          <x14:cfRule type="expression" priority="33" id="{C0A7FE43-1655-49EE-818D-65B86AABAECA}">
            <xm:f>$F193=RN_AN!$G$10</xm:f>
            <x14:dxf>
              <font>
                <b val="0"/>
                <i val="0"/>
                <color theme="0"/>
              </font>
              <fill>
                <patternFill>
                  <bgColor rgb="FF7030A0"/>
                </patternFill>
              </fill>
            </x14:dxf>
          </x14:cfRule>
          <x14:cfRule type="expression" priority="34" id="{64A9A4EC-2617-4AAF-9B97-C5925B6F45F0}">
            <xm:f>$F193=RN_AN!$G$9</xm:f>
            <x14:dxf>
              <font>
                <b val="0"/>
                <i val="0"/>
              </font>
              <fill>
                <patternFill>
                  <bgColor rgb="FF00FF00"/>
                </patternFill>
              </fill>
            </x14:dxf>
          </x14:cfRule>
          <x14:cfRule type="expression" priority="35" id="{13821034-FD6F-4347-9898-9D0DBA376368}">
            <xm:f>$F193=RN_AN!$G$8</xm:f>
            <x14:dxf>
              <font>
                <color theme="0"/>
              </font>
              <fill>
                <patternFill>
                  <bgColor rgb="FF002060"/>
                </patternFill>
              </fill>
            </x14:dxf>
          </x14:cfRule>
          <x14:cfRule type="expression" priority="37" id="{985B2427-5D35-4062-826D-DEB832BFAEE6}">
            <xm:f>$F193=RN_AN!$G$7</xm:f>
            <x14:dxf>
              <fill>
                <patternFill>
                  <bgColor rgb="FFFF66FF"/>
                </patternFill>
              </fill>
            </x14:dxf>
          </x14:cfRule>
          <x14:cfRule type="expression" priority="38" id="{C3736EDC-B09C-41E9-B12D-037388B79907}">
            <xm:f>$F193=RN_AN!$G$6</xm:f>
            <x14:dxf>
              <fill>
                <patternFill>
                  <bgColor rgb="FFFF0000"/>
                </patternFill>
              </fill>
            </x14:dxf>
          </x14:cfRule>
          <x14:cfRule type="expression" priority="39" id="{D0242DEE-23C0-4C53-97BA-59298DEE8DDD}">
            <xm:f>$F193=RN_AN!$G$5</xm:f>
            <x14:dxf>
              <fill>
                <patternFill>
                  <bgColor rgb="FF00B050"/>
                </patternFill>
              </fill>
            </x14:dxf>
          </x14:cfRule>
          <x14:cfRule type="expression" priority="40" id="{6D1FF316-8FC0-4308-AB4E-036F3A76A1D9}">
            <xm:f>$F193=RN_AN!$G$4</xm:f>
            <x14:dxf>
              <fill>
                <patternFill>
                  <bgColor rgb="FF00B0F0"/>
                </patternFill>
              </fill>
            </x14:dxf>
          </x14:cfRule>
          <x14:cfRule type="expression" priority="41" id="{906B2215-5E68-4A4F-B244-396CDCF53716}">
            <xm:f>$F193=RN_AN!$G$3</xm:f>
            <x14:dxf>
              <fill>
                <patternFill>
                  <bgColor rgb="FFFFFF00"/>
                </patternFill>
              </fill>
            </x14:dxf>
          </x14:cfRule>
          <x14:cfRule type="expression" priority="42" id="{7EF02250-E689-4A0E-B80C-0DD70151576E}">
            <xm:f>$F193=RN_AN!$G$2</xm:f>
            <x14:dxf>
              <fill>
                <patternFill>
                  <bgColor theme="5"/>
                </patternFill>
              </fill>
            </x14:dxf>
          </x14:cfRule>
          <xm:sqref>A193:L193</xm:sqref>
        </x14:conditionalFormatting>
        <x14:conditionalFormatting xmlns:xm="http://schemas.microsoft.com/office/excel/2006/main">
          <x14:cfRule type="expression" priority="15" id="{E5A41B7F-8883-4464-AC9E-79C49768675C}">
            <xm:f>$F194=RN_AN!$G$14</xm:f>
            <x14:dxf>
              <font>
                <b val="0"/>
                <i val="0"/>
              </font>
              <fill>
                <patternFill>
                  <bgColor rgb="FF66FFFF"/>
                </patternFill>
              </fill>
            </x14:dxf>
          </x14:cfRule>
          <x14:cfRule type="expression" priority="16" id="{F8D66064-B5FA-4CC2-B5C8-EE99F58499E1}">
            <xm:f>$F194=RN_AN!$G$13</xm:f>
            <x14:dxf>
              <font>
                <color theme="0"/>
              </font>
              <fill>
                <patternFill>
                  <bgColor theme="2" tint="-0.749961851863155"/>
                </patternFill>
              </fill>
            </x14:dxf>
          </x14:cfRule>
          <x14:cfRule type="expression" priority="17" id="{206C1F55-FFEA-47EE-94E2-653056593669}">
            <xm:f>$F194=RN_AN!$G$12</xm:f>
            <x14:dxf>
              <fill>
                <patternFill>
                  <bgColor theme="7"/>
                </patternFill>
              </fill>
            </x14:dxf>
          </x14:cfRule>
          <x14:cfRule type="expression" priority="18" id="{E9E85561-DEC1-40CC-8660-F0F82540EE70}">
            <xm:f>$F194=RN_AN!$G$11</xm:f>
            <x14:dxf>
              <fill>
                <patternFill>
                  <bgColor theme="4" tint="0.59996337778862885"/>
                </patternFill>
              </fill>
            </x14:dxf>
          </x14:cfRule>
          <x14:cfRule type="expression" priority="19" id="{4243295F-5801-4DD1-AEE1-5D9E3537AC0D}">
            <xm:f>$F194=RN_AN!$G$10</xm:f>
            <x14:dxf>
              <font>
                <b val="0"/>
                <i val="0"/>
                <color theme="0"/>
              </font>
              <fill>
                <patternFill>
                  <bgColor rgb="FF7030A0"/>
                </patternFill>
              </fill>
            </x14:dxf>
          </x14:cfRule>
          <x14:cfRule type="expression" priority="20" id="{89080DE2-6591-47EF-850A-3E35979411B3}">
            <xm:f>$F194=RN_AN!$G$9</xm:f>
            <x14:dxf>
              <font>
                <b val="0"/>
                <i val="0"/>
              </font>
              <fill>
                <patternFill>
                  <bgColor rgb="FF00FF00"/>
                </patternFill>
              </fill>
            </x14:dxf>
          </x14:cfRule>
          <x14:cfRule type="expression" priority="21" id="{C4335FCB-211C-43A0-96AB-61B5BBDCCA54}">
            <xm:f>$F194=RN_AN!$G$8</xm:f>
            <x14:dxf>
              <font>
                <color theme="0"/>
              </font>
              <fill>
                <patternFill>
                  <bgColor rgb="FF002060"/>
                </patternFill>
              </fill>
            </x14:dxf>
          </x14:cfRule>
          <x14:cfRule type="expression" priority="23" id="{D0569F72-2CB0-4B3B-917F-774960C5E381}">
            <xm:f>$F194=RN_AN!$G$7</xm:f>
            <x14:dxf>
              <fill>
                <patternFill>
                  <bgColor rgb="FFFF66FF"/>
                </patternFill>
              </fill>
            </x14:dxf>
          </x14:cfRule>
          <x14:cfRule type="expression" priority="24" id="{DF6802F3-B349-4564-A825-1A2B0BFF7D9D}">
            <xm:f>$F194=RN_AN!$G$6</xm:f>
            <x14:dxf>
              <fill>
                <patternFill>
                  <bgColor rgb="FFFF0000"/>
                </patternFill>
              </fill>
            </x14:dxf>
          </x14:cfRule>
          <x14:cfRule type="expression" priority="25" id="{4123323B-AED4-430D-811C-BC207194E9CC}">
            <xm:f>$F194=RN_AN!$G$5</xm:f>
            <x14:dxf>
              <fill>
                <patternFill>
                  <bgColor rgb="FF00B050"/>
                </patternFill>
              </fill>
            </x14:dxf>
          </x14:cfRule>
          <x14:cfRule type="expression" priority="26" id="{A26833EF-B06E-48F2-BB34-4BF40E2A7645}">
            <xm:f>$F194=RN_AN!$G$4</xm:f>
            <x14:dxf>
              <fill>
                <patternFill>
                  <bgColor rgb="FF00B0F0"/>
                </patternFill>
              </fill>
            </x14:dxf>
          </x14:cfRule>
          <x14:cfRule type="expression" priority="27" id="{CCB53A95-A9D3-4B7C-8F33-71528C194E86}">
            <xm:f>$F194=RN_AN!$G$3</xm:f>
            <x14:dxf>
              <fill>
                <patternFill>
                  <bgColor rgb="FFFFFF00"/>
                </patternFill>
              </fill>
            </x14:dxf>
          </x14:cfRule>
          <x14:cfRule type="expression" priority="28" id="{B4A25842-B752-4736-85B5-8FDCDEC39EF9}">
            <xm:f>$F194=RN_AN!$G$2</xm:f>
            <x14:dxf>
              <fill>
                <patternFill>
                  <bgColor theme="5"/>
                </patternFill>
              </fill>
            </x14:dxf>
          </x14:cfRule>
          <xm:sqref>A194:L194</xm:sqref>
        </x14:conditionalFormatting>
        <x14:conditionalFormatting xmlns:xm="http://schemas.microsoft.com/office/excel/2006/main">
          <x14:cfRule type="expression" priority="1" id="{86193AD4-3E20-4CB8-A235-D678E95E6E26}">
            <xm:f>$F195=RN_AN!$G$14</xm:f>
            <x14:dxf>
              <font>
                <b val="0"/>
                <i val="0"/>
              </font>
              <fill>
                <patternFill>
                  <bgColor rgb="FF66FFFF"/>
                </patternFill>
              </fill>
            </x14:dxf>
          </x14:cfRule>
          <x14:cfRule type="expression" priority="2" id="{A3E77ABE-8C0A-4130-83D4-230029FA2003}">
            <xm:f>$F195=RN_AN!$G$13</xm:f>
            <x14:dxf>
              <font>
                <color theme="0"/>
              </font>
              <fill>
                <patternFill>
                  <bgColor theme="2" tint="-0.749961851863155"/>
                </patternFill>
              </fill>
            </x14:dxf>
          </x14:cfRule>
          <x14:cfRule type="expression" priority="3" id="{6C267B30-0B6B-4E55-AFBE-A2402797902D}">
            <xm:f>$F195=RN_AN!$G$12</xm:f>
            <x14:dxf>
              <fill>
                <patternFill>
                  <bgColor theme="7"/>
                </patternFill>
              </fill>
            </x14:dxf>
          </x14:cfRule>
          <x14:cfRule type="expression" priority="4" id="{7078107A-AFFD-4809-936F-8450C4AA40E2}">
            <xm:f>$F195=RN_AN!$G$11</xm:f>
            <x14:dxf>
              <fill>
                <patternFill>
                  <bgColor theme="4" tint="0.59996337778862885"/>
                </patternFill>
              </fill>
            </x14:dxf>
          </x14:cfRule>
          <x14:cfRule type="expression" priority="5" id="{70CD9DE1-1C1E-4D14-B1B3-26BF83D34C97}">
            <xm:f>$F195=RN_AN!$G$10</xm:f>
            <x14:dxf>
              <font>
                <b val="0"/>
                <i val="0"/>
                <color theme="0"/>
              </font>
              <fill>
                <patternFill>
                  <bgColor rgb="FF7030A0"/>
                </patternFill>
              </fill>
            </x14:dxf>
          </x14:cfRule>
          <x14:cfRule type="expression" priority="6" id="{4EBF3F85-D56A-4FDE-893E-D8F7E8A6993E}">
            <xm:f>$F195=RN_AN!$G$9</xm:f>
            <x14:dxf>
              <font>
                <b val="0"/>
                <i val="0"/>
              </font>
              <fill>
                <patternFill>
                  <bgColor rgb="FF00FF00"/>
                </patternFill>
              </fill>
            </x14:dxf>
          </x14:cfRule>
          <x14:cfRule type="expression" priority="7" id="{72BCDF91-955F-483B-BD32-5FD9950DC490}">
            <xm:f>$F195=RN_AN!$G$8</xm:f>
            <x14:dxf>
              <font>
                <color theme="0"/>
              </font>
              <fill>
                <patternFill>
                  <bgColor rgb="FF002060"/>
                </patternFill>
              </fill>
            </x14:dxf>
          </x14:cfRule>
          <x14:cfRule type="expression" priority="9" id="{507AEAD3-DE69-4313-9C2F-D1F560EE02D3}">
            <xm:f>$F195=RN_AN!$G$7</xm:f>
            <x14:dxf>
              <fill>
                <patternFill>
                  <bgColor rgb="FFFF66FF"/>
                </patternFill>
              </fill>
            </x14:dxf>
          </x14:cfRule>
          <x14:cfRule type="expression" priority="10" id="{5D90F7C9-2284-49F6-90EA-B0C30F84C559}">
            <xm:f>$F195=RN_AN!$G$6</xm:f>
            <x14:dxf>
              <fill>
                <patternFill>
                  <bgColor rgb="FFFF0000"/>
                </patternFill>
              </fill>
            </x14:dxf>
          </x14:cfRule>
          <x14:cfRule type="expression" priority="11" id="{4DAA4D39-4B79-4529-9C4D-C55E47D52710}">
            <xm:f>$F195=RN_AN!$G$5</xm:f>
            <x14:dxf>
              <fill>
                <patternFill>
                  <bgColor rgb="FF00B050"/>
                </patternFill>
              </fill>
            </x14:dxf>
          </x14:cfRule>
          <x14:cfRule type="expression" priority="12" id="{5982C4D0-A7FB-4D4B-8DB3-11C585B643CF}">
            <xm:f>$F195=RN_AN!$G$4</xm:f>
            <x14:dxf>
              <fill>
                <patternFill>
                  <bgColor rgb="FF00B0F0"/>
                </patternFill>
              </fill>
            </x14:dxf>
          </x14:cfRule>
          <x14:cfRule type="expression" priority="13" id="{016EA2F1-6728-4C78-A3A7-3ACFE8EC8099}">
            <xm:f>$F195=RN_AN!$G$3</xm:f>
            <x14:dxf>
              <fill>
                <patternFill>
                  <bgColor rgb="FFFFFF00"/>
                </patternFill>
              </fill>
            </x14:dxf>
          </x14:cfRule>
          <x14:cfRule type="expression" priority="14" id="{1E98426F-645B-44C7-961A-A9B5CE008600}">
            <xm:f>$F195=RN_AN!$G$2</xm:f>
            <x14:dxf>
              <fill>
                <patternFill>
                  <bgColor theme="5"/>
                </patternFill>
              </fill>
            </x14:dxf>
          </x14:cfRule>
          <xm:sqref>A195:L196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13"/>
  <sheetViews>
    <sheetView zoomScale="70" zoomScaleNormal="70" workbookViewId="0">
      <selection activeCell="C93" sqref="C93"/>
    </sheetView>
  </sheetViews>
  <sheetFormatPr defaultRowHeight="15" x14ac:dyDescent="0.25"/>
  <cols>
    <col min="1" max="1" width="34" bestFit="1" customWidth="1"/>
    <col min="2" max="2" width="34" customWidth="1"/>
    <col min="3" max="3" width="10" customWidth="1"/>
    <col min="4" max="4" width="23.85546875" customWidth="1"/>
    <col min="5" max="5" width="19.140625" customWidth="1"/>
    <col min="6" max="6" width="24.85546875" customWidth="1"/>
    <col min="7" max="7" width="28.7109375" customWidth="1"/>
    <col min="8" max="8" width="27.85546875" customWidth="1"/>
    <col min="9" max="10" width="25.85546875" customWidth="1"/>
    <col min="11" max="11" width="42.28515625" customWidth="1"/>
    <col min="12" max="12" width="29.42578125" customWidth="1"/>
    <col min="13" max="13" width="36.85546875" customWidth="1"/>
    <col min="14" max="14" width="11" customWidth="1"/>
    <col min="15" max="15" width="12.7109375" customWidth="1"/>
    <col min="16" max="16" width="18.140625" customWidth="1"/>
  </cols>
  <sheetData>
    <row r="1" spans="1:16" x14ac:dyDescent="0.25">
      <c r="A1" t="s">
        <v>1017</v>
      </c>
      <c r="B1" t="s">
        <v>1018</v>
      </c>
    </row>
    <row r="6" spans="1:16" x14ac:dyDescent="0.25">
      <c r="A6" s="103" t="s">
        <v>586</v>
      </c>
      <c r="B6" s="103" t="s">
        <v>16</v>
      </c>
      <c r="C6" s="103" t="s">
        <v>1008</v>
      </c>
      <c r="D6" s="103" t="s">
        <v>1104</v>
      </c>
      <c r="E6" s="103" t="s">
        <v>957</v>
      </c>
      <c r="F6" s="103" t="s">
        <v>959</v>
      </c>
      <c r="G6" s="103" t="s">
        <v>960</v>
      </c>
      <c r="H6" s="103" t="s">
        <v>963</v>
      </c>
      <c r="I6" s="103" t="s">
        <v>962</v>
      </c>
      <c r="J6" s="103" t="s">
        <v>1015</v>
      </c>
      <c r="K6" s="104" t="s">
        <v>1014</v>
      </c>
      <c r="L6" s="109" t="s">
        <v>673</v>
      </c>
      <c r="M6" s="109" t="s">
        <v>1107</v>
      </c>
      <c r="N6" s="111" t="s">
        <v>1118</v>
      </c>
      <c r="O6" s="111" t="s">
        <v>1288</v>
      </c>
      <c r="P6" s="111" t="s">
        <v>1289</v>
      </c>
    </row>
    <row r="7" spans="1:16" ht="105" hidden="1" x14ac:dyDescent="0.25">
      <c r="A7" s="25" t="s">
        <v>612</v>
      </c>
      <c r="B7" s="25" t="s">
        <v>1136</v>
      </c>
      <c r="C7" s="25" t="s">
        <v>965</v>
      </c>
      <c r="D7" s="25" t="s">
        <v>961</v>
      </c>
      <c r="E7" s="100" t="s">
        <v>994</v>
      </c>
      <c r="F7" s="25" t="str">
        <f t="shared" ref="F7:F18" ca="1" si="0">IF(C7&lt;&gt;"S",INDIRECT("G"&amp;MATCH(E7,$A$1:$A$100,0)),"NA")</f>
        <v>ID_Usuario, Password, Perfil(es)</v>
      </c>
      <c r="G7" s="25"/>
      <c r="H7" s="25" t="str">
        <f t="shared" ref="H7:H18" ca="1" si="1">IF(C7&lt;&gt;"S",INDIRECT("I"&amp;MATCH(E7,$A$1:$A$100,0)),"NA")</f>
        <v>Activo, Inactivo</v>
      </c>
      <c r="I7" s="25"/>
      <c r="J7" s="25" t="str">
        <f ca="1">IF(E7&lt;&gt;"S",INDIRECT("K"&amp;MATCH(E7,$A$1:$A$100,0)),"NA")</f>
        <v>Crear y Modificar Password, Asignar/Desasignar a Perfiles, Envía Mensajes, Recibe Mensajes</v>
      </c>
      <c r="K7" s="106" t="s">
        <v>1099</v>
      </c>
      <c r="L7" s="25"/>
      <c r="M7" s="25"/>
      <c r="N7" s="110"/>
      <c r="O7" s="110"/>
      <c r="P7" s="110"/>
    </row>
    <row r="8" spans="1:16" ht="75" hidden="1" x14ac:dyDescent="0.25">
      <c r="A8" s="25" t="s">
        <v>331</v>
      </c>
      <c r="B8" s="25" t="s">
        <v>1007</v>
      </c>
      <c r="C8" s="25" t="s">
        <v>965</v>
      </c>
      <c r="D8" s="25" t="s">
        <v>1105</v>
      </c>
      <c r="E8" s="100" t="s">
        <v>996</v>
      </c>
      <c r="F8" s="25" t="str">
        <f t="shared" ca="1" si="0"/>
        <v>ID_Sucursal, Nombre, Descripción</v>
      </c>
      <c r="G8" s="25" t="s">
        <v>1157</v>
      </c>
      <c r="H8" s="25" t="str">
        <f t="shared" ca="1" si="1"/>
        <v>Activo, Inactivo</v>
      </c>
      <c r="I8" s="25"/>
      <c r="J8" s="25" t="str">
        <f t="shared" ref="J8:J39" ca="1" si="2">IF(C8&lt;&gt;"S",INDIRECT("K"&amp;MATCH(E8,$A$1:$A$100,0)),"NA")</f>
        <v>Creación, Edición, Borrado lógico</v>
      </c>
      <c r="K8" s="106" t="s">
        <v>1290</v>
      </c>
      <c r="L8" s="25" t="s">
        <v>1106</v>
      </c>
      <c r="M8" s="25" t="s">
        <v>1108</v>
      </c>
      <c r="N8" s="25" t="s">
        <v>94</v>
      </c>
      <c r="O8" s="25" t="s">
        <v>1120</v>
      </c>
      <c r="P8" s="100" t="s">
        <v>1125</v>
      </c>
    </row>
    <row r="9" spans="1:16" ht="180" hidden="1" x14ac:dyDescent="0.25">
      <c r="A9" s="25" t="s">
        <v>986</v>
      </c>
      <c r="B9" s="25" t="s">
        <v>1009</v>
      </c>
      <c r="C9" s="25" t="s">
        <v>965</v>
      </c>
      <c r="D9" s="25" t="s">
        <v>1109</v>
      </c>
      <c r="E9" s="100" t="s">
        <v>994</v>
      </c>
      <c r="F9" s="25" t="str">
        <f t="shared" ca="1" si="0"/>
        <v>ID_Usuario, Password, Perfil(es)</v>
      </c>
      <c r="G9" s="25" t="s">
        <v>989</v>
      </c>
      <c r="H9" s="25" t="str">
        <f t="shared" ca="1" si="1"/>
        <v>Activo, Inactivo</v>
      </c>
      <c r="I9" s="25"/>
      <c r="J9" s="25" t="str">
        <f t="shared" ca="1" si="2"/>
        <v>Crear y Modificar Password, Asignar/Desasignar a Perfiles, Envía Mensajes, Recibe Mensajes</v>
      </c>
      <c r="K9" s="106" t="s">
        <v>1102</v>
      </c>
      <c r="L9" s="25"/>
      <c r="M9" s="25" t="s">
        <v>1110</v>
      </c>
      <c r="N9" s="110"/>
      <c r="O9" s="110"/>
      <c r="P9" s="110"/>
    </row>
    <row r="10" spans="1:16" ht="60" hidden="1" x14ac:dyDescent="0.25">
      <c r="A10" s="25" t="s">
        <v>982</v>
      </c>
      <c r="B10" s="25" t="s">
        <v>1010</v>
      </c>
      <c r="C10" s="25" t="s">
        <v>965</v>
      </c>
      <c r="D10" s="25" t="s">
        <v>1105</v>
      </c>
      <c r="E10" s="100" t="s">
        <v>996</v>
      </c>
      <c r="F10" s="25" t="str">
        <f t="shared" ca="1" si="0"/>
        <v>ID_Sucursal, Nombre, Descripción</v>
      </c>
      <c r="G10" s="25" t="s">
        <v>1291</v>
      </c>
      <c r="H10" s="25" t="str">
        <f t="shared" ca="1" si="1"/>
        <v>Activo, Inactivo</v>
      </c>
      <c r="I10" s="25"/>
      <c r="J10" s="25" t="str">
        <f t="shared" ca="1" si="2"/>
        <v>Creación, Edición, Borrado lógico</v>
      </c>
      <c r="K10" s="106" t="s">
        <v>1292</v>
      </c>
      <c r="L10" s="25"/>
      <c r="M10" s="25" t="s">
        <v>1111</v>
      </c>
      <c r="N10" s="25" t="s">
        <v>94</v>
      </c>
      <c r="O10" s="25" t="s">
        <v>1120</v>
      </c>
      <c r="P10" s="100" t="s">
        <v>1125</v>
      </c>
    </row>
    <row r="11" spans="1:16" ht="75" hidden="1" x14ac:dyDescent="0.25">
      <c r="A11" s="25" t="s">
        <v>1329</v>
      </c>
      <c r="B11" s="25" t="s">
        <v>1083</v>
      </c>
      <c r="C11" s="25" t="s">
        <v>965</v>
      </c>
      <c r="D11" s="25" t="s">
        <v>961</v>
      </c>
      <c r="E11" s="100" t="s">
        <v>958</v>
      </c>
      <c r="F11" s="25" t="str">
        <f t="shared" ca="1" si="0"/>
        <v>Fecha,  Hora,  ID_Sucursal, Clave de Folio, Numeración Folio, ID Usuario, Monto Total, Documento Origen</v>
      </c>
      <c r="G11" s="25" t="s">
        <v>1331</v>
      </c>
      <c r="H11" s="25" t="str">
        <f t="shared" ca="1" si="1"/>
        <v>Abierto, Cerrado</v>
      </c>
      <c r="I11" s="25" t="s">
        <v>974</v>
      </c>
      <c r="J11" s="25" t="str">
        <f t="shared" ca="1" si="2"/>
        <v>Creación, Edición, Borrado lógico</v>
      </c>
      <c r="K11" s="106"/>
      <c r="L11" s="25"/>
      <c r="M11" s="25" t="s">
        <v>1330</v>
      </c>
      <c r="N11" s="25"/>
      <c r="O11" s="25"/>
      <c r="P11" s="25"/>
    </row>
    <row r="12" spans="1:16" ht="60" hidden="1" x14ac:dyDescent="0.25">
      <c r="A12" s="25" t="s">
        <v>981</v>
      </c>
      <c r="B12" s="25" t="s">
        <v>1129</v>
      </c>
      <c r="C12" s="25" t="s">
        <v>964</v>
      </c>
      <c r="D12" s="25" t="s">
        <v>1296</v>
      </c>
      <c r="E12" s="100" t="s">
        <v>961</v>
      </c>
      <c r="F12" s="102" t="str">
        <f t="shared" ca="1" si="0"/>
        <v>NA</v>
      </c>
      <c r="G12" s="25" t="s">
        <v>1532</v>
      </c>
      <c r="H12" s="102" t="str">
        <f t="shared" ca="1" si="1"/>
        <v>NA</v>
      </c>
      <c r="I12" s="25" t="s">
        <v>999</v>
      </c>
      <c r="J12" s="102" t="str">
        <f t="shared" ca="1" si="2"/>
        <v>NA</v>
      </c>
      <c r="K12" s="106" t="str">
        <f>$B$1</f>
        <v>Creación, Edición, Borrado lógico</v>
      </c>
      <c r="L12" s="25"/>
      <c r="M12" s="25"/>
      <c r="N12" s="110"/>
      <c r="O12" s="25"/>
      <c r="P12" s="25"/>
    </row>
    <row r="13" spans="1:16" ht="45" hidden="1" x14ac:dyDescent="0.25">
      <c r="A13" s="25" t="s">
        <v>1056</v>
      </c>
      <c r="B13" s="25" t="s">
        <v>1011</v>
      </c>
      <c r="C13" s="25" t="s">
        <v>965</v>
      </c>
      <c r="D13" s="25" t="s">
        <v>1298</v>
      </c>
      <c r="E13" s="100" t="s">
        <v>969</v>
      </c>
      <c r="F13" s="25" t="str">
        <f t="shared" ca="1" si="0"/>
        <v>Nombre, Tipo de Registro (Mercancía, Bebida) Clasificación</v>
      </c>
      <c r="G13" s="25" t="s">
        <v>1299</v>
      </c>
      <c r="H13" s="25" t="str">
        <f t="shared" ca="1" si="1"/>
        <v>Activo, Inactivo</v>
      </c>
      <c r="I13" s="25"/>
      <c r="J13" s="25" t="str">
        <f t="shared" ca="1" si="2"/>
        <v>Creación, Edición, Borrado lógico</v>
      </c>
      <c r="K13" s="106"/>
      <c r="L13" s="25"/>
      <c r="M13" s="25"/>
      <c r="N13" s="25"/>
      <c r="O13" s="25"/>
      <c r="P13" s="25"/>
    </row>
    <row r="14" spans="1:16" ht="210" hidden="1" x14ac:dyDescent="0.25">
      <c r="A14" s="25" t="s">
        <v>984</v>
      </c>
      <c r="B14" s="25" t="s">
        <v>1012</v>
      </c>
      <c r="C14" s="25" t="s">
        <v>965</v>
      </c>
      <c r="D14" s="25" t="s">
        <v>1105</v>
      </c>
      <c r="E14" s="100" t="s">
        <v>996</v>
      </c>
      <c r="F14" s="25" t="str">
        <f t="shared" ca="1" si="0"/>
        <v>ID_Sucursal, Nombre, Descripción</v>
      </c>
      <c r="G14" s="25" t="s">
        <v>1300</v>
      </c>
      <c r="H14" s="25" t="str">
        <f t="shared" ca="1" si="1"/>
        <v>Activo, Inactivo</v>
      </c>
      <c r="I14" s="25" t="s">
        <v>991</v>
      </c>
      <c r="J14" s="25" t="str">
        <f t="shared" ca="1" si="2"/>
        <v>Creación, Edición, Borrado lógico</v>
      </c>
      <c r="K14" s="106" t="s">
        <v>1301</v>
      </c>
      <c r="L14" s="25" t="s">
        <v>1387</v>
      </c>
      <c r="M14" s="25" t="s">
        <v>1112</v>
      </c>
      <c r="N14" s="25" t="s">
        <v>94</v>
      </c>
      <c r="O14" s="25" t="s">
        <v>1122</v>
      </c>
      <c r="P14" s="25" t="s">
        <v>1130</v>
      </c>
    </row>
    <row r="15" spans="1:16" ht="195" hidden="1" x14ac:dyDescent="0.25">
      <c r="A15" s="105" t="s">
        <v>985</v>
      </c>
      <c r="B15" s="25" t="s">
        <v>1013</v>
      </c>
      <c r="C15" s="25" t="s">
        <v>965</v>
      </c>
      <c r="D15" s="25" t="s">
        <v>1114</v>
      </c>
      <c r="E15" s="100" t="s">
        <v>994</v>
      </c>
      <c r="F15" s="25" t="str">
        <f t="shared" ca="1" si="0"/>
        <v>ID_Usuario, Password, Perfil(es)</v>
      </c>
      <c r="G15" s="25" t="s">
        <v>1302</v>
      </c>
      <c r="H15" s="25" t="str">
        <f t="shared" ca="1" si="1"/>
        <v>Activo, Inactivo</v>
      </c>
      <c r="I15" s="25"/>
      <c r="J15" s="25" t="str">
        <f t="shared" ca="1" si="2"/>
        <v>Crear y Modificar Password, Asignar/Desasignar a Perfiles, Envía Mensajes, Recibe Mensajes</v>
      </c>
      <c r="K15" s="106" t="s">
        <v>1303</v>
      </c>
      <c r="L15" s="25"/>
      <c r="M15" s="25" t="s">
        <v>1113</v>
      </c>
      <c r="N15" s="25"/>
      <c r="O15" s="25"/>
      <c r="P15" s="25"/>
    </row>
    <row r="16" spans="1:16" ht="120" hidden="1" x14ac:dyDescent="0.25">
      <c r="A16" s="25" t="s">
        <v>1308</v>
      </c>
      <c r="B16" s="25" t="s">
        <v>1309</v>
      </c>
      <c r="C16" s="25" t="s">
        <v>965</v>
      </c>
      <c r="D16" s="25" t="s">
        <v>961</v>
      </c>
      <c r="E16" s="100" t="s">
        <v>1329</v>
      </c>
      <c r="F16" s="102" t="str">
        <f t="shared" ca="1" si="0"/>
        <v>SubCuenta de Cargo, SubCuenta de Abono</v>
      </c>
      <c r="G16" s="25" t="s">
        <v>1128</v>
      </c>
      <c r="H16" s="102" t="str">
        <f t="shared" ca="1" si="1"/>
        <v>Aplicada, Cancelada</v>
      </c>
      <c r="I16" s="25" t="s">
        <v>988</v>
      </c>
      <c r="J16" s="102">
        <f t="shared" ca="1" si="2"/>
        <v>0</v>
      </c>
      <c r="K16" s="106" t="str">
        <f>$B$1</f>
        <v>Creación, Edición, Borrado lógico</v>
      </c>
      <c r="L16" s="25"/>
      <c r="M16" s="25"/>
      <c r="N16" s="25"/>
      <c r="O16" s="25"/>
      <c r="P16" s="25"/>
    </row>
    <row r="17" spans="1:16" ht="405" hidden="1" x14ac:dyDescent="0.25">
      <c r="A17" s="25" t="s">
        <v>1305</v>
      </c>
      <c r="B17" s="25" t="s">
        <v>1304</v>
      </c>
      <c r="C17" s="25" t="s">
        <v>965</v>
      </c>
      <c r="D17" s="25" t="s">
        <v>1115</v>
      </c>
      <c r="E17" s="100" t="s">
        <v>1308</v>
      </c>
      <c r="F17" s="102" t="str">
        <f t="shared" ca="1" si="0"/>
        <v>Nombre, Monto Fijo, Porcentaje sobre operación</v>
      </c>
      <c r="G17" s="25" t="s">
        <v>1444</v>
      </c>
      <c r="H17" s="102" t="str">
        <f t="shared" ca="1" si="1"/>
        <v>Activo, Inactivo</v>
      </c>
      <c r="I17" s="25"/>
      <c r="J17" s="102" t="str">
        <f t="shared" ca="1" si="2"/>
        <v>Creación, Edición, Borrado lógico</v>
      </c>
      <c r="K17" s="106"/>
      <c r="L17" s="25" t="s">
        <v>1445</v>
      </c>
      <c r="M17" s="25" t="s">
        <v>1306</v>
      </c>
      <c r="N17" s="110"/>
      <c r="O17" s="25"/>
      <c r="P17" s="100"/>
    </row>
    <row r="18" spans="1:16" ht="210" hidden="1" x14ac:dyDescent="0.25">
      <c r="A18" s="25" t="s">
        <v>1307</v>
      </c>
      <c r="B18" s="25" t="s">
        <v>1016</v>
      </c>
      <c r="C18" s="25" t="s">
        <v>965</v>
      </c>
      <c r="D18" s="25" t="s">
        <v>1117</v>
      </c>
      <c r="E18" s="100" t="s">
        <v>1308</v>
      </c>
      <c r="F18" s="25" t="str">
        <f t="shared" ca="1" si="0"/>
        <v>Nombre, Monto Fijo, Porcentaje sobre operación</v>
      </c>
      <c r="G18" s="25"/>
      <c r="H18" s="25" t="str">
        <f t="shared" ca="1" si="1"/>
        <v>Activo, Inactivo</v>
      </c>
      <c r="I18" s="25"/>
      <c r="J18" s="25" t="str">
        <f t="shared" ca="1" si="2"/>
        <v>Creación, Edición, Borrado lógico</v>
      </c>
      <c r="K18" s="106"/>
      <c r="L18" s="25" t="s">
        <v>1340</v>
      </c>
      <c r="M18" s="25" t="s">
        <v>1310</v>
      </c>
      <c r="N18" s="25"/>
      <c r="O18" s="25"/>
      <c r="P18" s="100"/>
    </row>
    <row r="19" spans="1:16" ht="45" hidden="1" x14ac:dyDescent="0.25">
      <c r="A19" s="25" t="s">
        <v>1293</v>
      </c>
      <c r="B19" s="25" t="s">
        <v>1294</v>
      </c>
      <c r="C19" s="25" t="s">
        <v>964</v>
      </c>
      <c r="D19" s="25" t="s">
        <v>961</v>
      </c>
      <c r="E19" s="100" t="s">
        <v>961</v>
      </c>
      <c r="F19" s="102" t="str">
        <f ca="1">IF(C19&lt;&gt;"S",INDIRECT("F"&amp;MATCH(E19,$A$6:$A$100,0)),"NA")</f>
        <v>NA</v>
      </c>
      <c r="G19" s="25" t="s">
        <v>1295</v>
      </c>
      <c r="H19" s="102" t="str">
        <f ca="1">IF(C19&lt;&gt;"S",INDIRECT("H"&amp;MATCH(E19,$A$6:$A$100,0)),"NA")</f>
        <v>NA</v>
      </c>
      <c r="I19" s="25" t="s">
        <v>988</v>
      </c>
      <c r="J19" s="102" t="str">
        <f t="shared" ca="1" si="2"/>
        <v>NA</v>
      </c>
      <c r="K19" s="106" t="str">
        <f>$B$1</f>
        <v>Creación, Edición, Borrado lógico</v>
      </c>
      <c r="L19" s="25"/>
      <c r="M19" s="25"/>
      <c r="N19" s="110"/>
      <c r="O19" s="25"/>
      <c r="P19" s="25"/>
    </row>
    <row r="20" spans="1:16" ht="120" hidden="1" x14ac:dyDescent="0.25">
      <c r="A20" s="25" t="s">
        <v>977</v>
      </c>
      <c r="B20" s="25" t="s">
        <v>1116</v>
      </c>
      <c r="C20" s="25" t="s">
        <v>965</v>
      </c>
      <c r="D20" s="25" t="s">
        <v>1311</v>
      </c>
      <c r="E20" s="100" t="s">
        <v>1312</v>
      </c>
      <c r="F20" s="25" t="str">
        <f ca="1">IF(C20&lt;&gt;"S",INDIRECT("G"&amp;MATCH(E20,$A$1:$A$100,0)),"NA")</f>
        <v>Persona de Contacto, Razón Social, Registro Federal de Causantes (RFC), Domicilio Fiscal, Cuenta Contable de Cargo, Cuenta Contable de Abono, Tipo (Cliente, Proveedor)</v>
      </c>
      <c r="G20" s="25" t="s">
        <v>1315</v>
      </c>
      <c r="H20" s="102">
        <f t="shared" ref="H20:H46" ca="1" si="3">IF(C20&lt;&gt;"S",INDIRECT("I"&amp;MATCH(E20,$A$1:$A$100,0)),"NA")</f>
        <v>0</v>
      </c>
      <c r="I20" s="25"/>
      <c r="J20" s="25">
        <f t="shared" ca="1" si="2"/>
        <v>0</v>
      </c>
      <c r="K20" s="106" t="s">
        <v>1441</v>
      </c>
      <c r="L20" s="25" t="s">
        <v>1339</v>
      </c>
      <c r="M20" s="25" t="s">
        <v>1570</v>
      </c>
      <c r="N20" s="25" t="s">
        <v>94</v>
      </c>
      <c r="O20" s="25" t="s">
        <v>1121</v>
      </c>
      <c r="P20" s="100" t="s">
        <v>1126</v>
      </c>
    </row>
    <row r="21" spans="1:16" ht="120" hidden="1" x14ac:dyDescent="0.25">
      <c r="A21" s="25" t="s">
        <v>1140</v>
      </c>
      <c r="B21" s="25" t="s">
        <v>1317</v>
      </c>
      <c r="C21" s="25" t="s">
        <v>965</v>
      </c>
      <c r="D21" s="25" t="s">
        <v>1318</v>
      </c>
      <c r="E21" s="100" t="s">
        <v>1312</v>
      </c>
      <c r="F21" s="102" t="str">
        <f ca="1">IF(C21&lt;&gt;"S",INDIRECT("g"&amp;MATCH(E21,$A$1:$A$100,0)),"NA")</f>
        <v>Persona de Contacto, Razón Social, Registro Federal de Causantes (RFC), Domicilio Fiscal, Cuenta Contable de Cargo, Cuenta Contable de Abono, Tipo (Cliente, Proveedor)</v>
      </c>
      <c r="G21" s="25" t="s">
        <v>1319</v>
      </c>
      <c r="H21" s="102">
        <f t="shared" ca="1" si="3"/>
        <v>0</v>
      </c>
      <c r="I21" s="25"/>
      <c r="J21" s="102">
        <f t="shared" ca="1" si="2"/>
        <v>0</v>
      </c>
      <c r="K21" s="106"/>
      <c r="L21" s="25"/>
      <c r="M21" s="25"/>
      <c r="N21" s="25"/>
      <c r="O21" s="25"/>
      <c r="P21" s="25"/>
    </row>
    <row r="22" spans="1:16" ht="75" hidden="1" x14ac:dyDescent="0.25">
      <c r="A22" s="25" t="s">
        <v>1095</v>
      </c>
      <c r="B22" s="25" t="s">
        <v>1137</v>
      </c>
      <c r="C22" s="25" t="s">
        <v>965</v>
      </c>
      <c r="D22" s="25" t="s">
        <v>961</v>
      </c>
      <c r="E22" s="100" t="s">
        <v>994</v>
      </c>
      <c r="F22" s="25" t="str">
        <f t="shared" ref="F22:F46" ca="1" si="4">IF(C22&lt;&gt;"S",INDIRECT("G"&amp;MATCH(E22,$A$1:$A$100,0)),"NA")</f>
        <v>ID_Usuario, Password, Perfil(es)</v>
      </c>
      <c r="G22" s="25" t="s">
        <v>1138</v>
      </c>
      <c r="H22" s="25" t="str">
        <f t="shared" ca="1" si="3"/>
        <v>Activo, Inactivo</v>
      </c>
      <c r="I22" s="25"/>
      <c r="J22" s="102" t="str">
        <f t="shared" ca="1" si="2"/>
        <v>Crear y Modificar Password, Asignar/Desasignar a Perfiles, Envía Mensajes, Recibe Mensajes</v>
      </c>
      <c r="K22" s="106" t="s">
        <v>1320</v>
      </c>
      <c r="L22" s="25"/>
      <c r="M22" s="25"/>
      <c r="N22" s="25"/>
      <c r="O22" s="25"/>
      <c r="P22" s="25"/>
    </row>
    <row r="23" spans="1:16" ht="105" hidden="1" x14ac:dyDescent="0.25">
      <c r="A23" s="25" t="s">
        <v>1094</v>
      </c>
      <c r="B23" s="25" t="s">
        <v>1135</v>
      </c>
      <c r="C23" s="25" t="s">
        <v>965</v>
      </c>
      <c r="D23" s="25" t="s">
        <v>961</v>
      </c>
      <c r="E23" s="100" t="s">
        <v>994</v>
      </c>
      <c r="F23" s="25" t="str">
        <f t="shared" ca="1" si="4"/>
        <v>ID_Usuario, Password, Perfil(es)</v>
      </c>
      <c r="G23" s="25"/>
      <c r="H23" s="25" t="str">
        <f t="shared" ca="1" si="3"/>
        <v>Activo, Inactivo</v>
      </c>
      <c r="I23" s="25"/>
      <c r="J23" s="102" t="str">
        <f t="shared" ca="1" si="2"/>
        <v>Crear y Modificar Password, Asignar/Desasignar a Perfiles, Envía Mensajes, Recibe Mensajes</v>
      </c>
      <c r="K23" s="106" t="s">
        <v>1101</v>
      </c>
      <c r="L23" s="25"/>
      <c r="M23" s="25"/>
      <c r="N23" s="25"/>
      <c r="O23" s="25"/>
      <c r="P23" s="25"/>
    </row>
    <row r="24" spans="1:16" ht="75" hidden="1" x14ac:dyDescent="0.25">
      <c r="A24" s="25" t="s">
        <v>997</v>
      </c>
      <c r="B24" s="25" t="s">
        <v>1020</v>
      </c>
      <c r="C24" s="25" t="s">
        <v>965</v>
      </c>
      <c r="D24" s="25" t="s">
        <v>992</v>
      </c>
      <c r="E24" s="100" t="s">
        <v>958</v>
      </c>
      <c r="F24" s="25" t="str">
        <f t="shared" ca="1" si="4"/>
        <v>Fecha,  Hora,  ID_Sucursal, Clave de Folio, Numeración Folio, ID Usuario, Monto Total, Documento Origen</v>
      </c>
      <c r="G24" s="25" t="s">
        <v>1021</v>
      </c>
      <c r="H24" s="25" t="str">
        <f t="shared" ca="1" si="3"/>
        <v>Abierto, Cerrado</v>
      </c>
      <c r="I24" s="25"/>
      <c r="J24" s="25" t="str">
        <f t="shared" ca="1" si="2"/>
        <v>Creación, Edición, Borrado lógico</v>
      </c>
      <c r="K24" s="106"/>
      <c r="L24" s="25"/>
      <c r="M24" s="25"/>
      <c r="N24" s="25"/>
      <c r="O24" s="25"/>
      <c r="P24" s="25"/>
    </row>
    <row r="25" spans="1:16" ht="300" hidden="1" x14ac:dyDescent="0.25">
      <c r="A25" s="25" t="s">
        <v>983</v>
      </c>
      <c r="B25" s="25" t="s">
        <v>1022</v>
      </c>
      <c r="C25" s="25" t="s">
        <v>964</v>
      </c>
      <c r="D25" s="25" t="s">
        <v>998</v>
      </c>
      <c r="E25" s="100" t="s">
        <v>961</v>
      </c>
      <c r="F25" s="25" t="str">
        <f t="shared" ca="1" si="4"/>
        <v>NA</v>
      </c>
      <c r="G25" s="25" t="s">
        <v>1178</v>
      </c>
      <c r="H25" s="25" t="str">
        <f t="shared" ca="1" si="3"/>
        <v>NA</v>
      </c>
      <c r="I25" s="25" t="s">
        <v>999</v>
      </c>
      <c r="J25" s="25" t="str">
        <f t="shared" ca="1" si="2"/>
        <v>NA</v>
      </c>
      <c r="K25" s="106" t="str">
        <f>$B$1</f>
        <v>Creación, Edición, Borrado lógico</v>
      </c>
      <c r="L25" s="25" t="s">
        <v>1399</v>
      </c>
      <c r="M25" s="25"/>
      <c r="N25" s="25" t="s">
        <v>94</v>
      </c>
      <c r="O25" s="25" t="s">
        <v>1323</v>
      </c>
      <c r="P25" s="25" t="s">
        <v>1123</v>
      </c>
    </row>
    <row r="26" spans="1:16" ht="90" hidden="1" x14ac:dyDescent="0.25">
      <c r="A26" s="25" t="s">
        <v>1325</v>
      </c>
      <c r="B26" s="25" t="s">
        <v>1324</v>
      </c>
      <c r="C26" s="25" t="s">
        <v>964</v>
      </c>
      <c r="D26" s="25"/>
      <c r="E26" s="100" t="s">
        <v>961</v>
      </c>
      <c r="F26" s="25" t="str">
        <f t="shared" ca="1" si="4"/>
        <v>NA</v>
      </c>
      <c r="G26" s="25" t="s">
        <v>1326</v>
      </c>
      <c r="H26" s="25" t="str">
        <f t="shared" ca="1" si="3"/>
        <v>NA</v>
      </c>
      <c r="I26" s="25"/>
      <c r="J26" s="25" t="str">
        <f t="shared" ca="1" si="2"/>
        <v>NA</v>
      </c>
      <c r="K26" s="106"/>
      <c r="L26" s="25" t="s">
        <v>1333</v>
      </c>
      <c r="M26" s="25"/>
      <c r="N26" s="25"/>
      <c r="O26" s="25"/>
      <c r="P26" s="25"/>
    </row>
    <row r="27" spans="1:16" ht="60" hidden="1" x14ac:dyDescent="0.25">
      <c r="A27" s="25" t="s">
        <v>1349</v>
      </c>
      <c r="B27" s="25" t="s">
        <v>1351</v>
      </c>
      <c r="C27" s="25" t="s">
        <v>965</v>
      </c>
      <c r="D27" s="25" t="s">
        <v>1352</v>
      </c>
      <c r="E27" s="100" t="s">
        <v>1329</v>
      </c>
      <c r="F27" s="25" t="str">
        <f t="shared" ca="1" si="4"/>
        <v>SubCuenta de Cargo, SubCuenta de Abono</v>
      </c>
      <c r="G27" s="25" t="s">
        <v>1128</v>
      </c>
      <c r="H27" s="25" t="str">
        <f t="shared" ca="1" si="3"/>
        <v>Aplicada, Cancelada</v>
      </c>
      <c r="I27" s="25" t="s">
        <v>988</v>
      </c>
      <c r="J27" s="25">
        <f t="shared" ca="1" si="2"/>
        <v>0</v>
      </c>
      <c r="K27" s="106" t="str">
        <f>$B$1</f>
        <v>Creación, Edición, Borrado lógico</v>
      </c>
      <c r="L27" s="25"/>
      <c r="M27" s="25"/>
      <c r="N27" s="25"/>
      <c r="O27" s="25"/>
      <c r="P27" s="25"/>
    </row>
    <row r="28" spans="1:16" ht="255" hidden="1" x14ac:dyDescent="0.25">
      <c r="A28" s="25" t="s">
        <v>1350</v>
      </c>
      <c r="B28" s="25" t="s">
        <v>1353</v>
      </c>
      <c r="C28" s="25" t="s">
        <v>965</v>
      </c>
      <c r="D28" s="25" t="s">
        <v>1115</v>
      </c>
      <c r="E28" s="100" t="s">
        <v>1349</v>
      </c>
      <c r="F28" s="25" t="str">
        <f t="shared" ca="1" si="4"/>
        <v>Nombre, Monto Fijo, Porcentaje sobre operación</v>
      </c>
      <c r="G28" s="25"/>
      <c r="H28" s="25" t="str">
        <f t="shared" ca="1" si="3"/>
        <v>Activo, Inactivo</v>
      </c>
      <c r="I28" s="25"/>
      <c r="J28" s="25" t="str">
        <f t="shared" ca="1" si="2"/>
        <v>Creación, Edición, Borrado lógico</v>
      </c>
      <c r="K28" s="106"/>
      <c r="L28" s="25" t="s">
        <v>1434</v>
      </c>
      <c r="M28" s="25"/>
      <c r="N28" s="25"/>
      <c r="O28" s="25"/>
      <c r="P28" s="25"/>
    </row>
    <row r="29" spans="1:16" ht="120" hidden="1" x14ac:dyDescent="0.25">
      <c r="A29" s="25" t="s">
        <v>1356</v>
      </c>
      <c r="B29" s="25" t="s">
        <v>1354</v>
      </c>
      <c r="C29" s="25" t="s">
        <v>965</v>
      </c>
      <c r="D29" s="25" t="s">
        <v>1345</v>
      </c>
      <c r="E29" s="100" t="s">
        <v>1349</v>
      </c>
      <c r="F29" s="25" t="str">
        <f t="shared" ca="1" si="4"/>
        <v>Nombre, Monto Fijo, Porcentaje sobre operación</v>
      </c>
      <c r="G29" s="25"/>
      <c r="H29" s="25" t="str">
        <f t="shared" ca="1" si="3"/>
        <v>Activo, Inactivo</v>
      </c>
      <c r="I29" s="25"/>
      <c r="J29" s="25" t="str">
        <f t="shared" ca="1" si="2"/>
        <v>Creación, Edición, Borrado lógico</v>
      </c>
      <c r="K29" s="106"/>
      <c r="L29" s="25" t="s">
        <v>1357</v>
      </c>
      <c r="M29" s="25"/>
      <c r="N29" s="25"/>
      <c r="O29" s="25"/>
      <c r="P29" s="25"/>
    </row>
    <row r="30" spans="1:16" ht="60" hidden="1" x14ac:dyDescent="0.25">
      <c r="A30" s="25" t="s">
        <v>958</v>
      </c>
      <c r="B30" s="25" t="s">
        <v>1023</v>
      </c>
      <c r="C30" s="25" t="s">
        <v>964</v>
      </c>
      <c r="D30" s="25" t="s">
        <v>961</v>
      </c>
      <c r="E30" s="100" t="s">
        <v>961</v>
      </c>
      <c r="F30" s="25" t="str">
        <f t="shared" ca="1" si="4"/>
        <v>NA</v>
      </c>
      <c r="G30" s="25" t="s">
        <v>1565</v>
      </c>
      <c r="H30" s="25" t="str">
        <f t="shared" ca="1" si="3"/>
        <v>NA</v>
      </c>
      <c r="I30" s="25" t="s">
        <v>968</v>
      </c>
      <c r="J30" s="25" t="str">
        <f t="shared" ca="1" si="2"/>
        <v>NA</v>
      </c>
      <c r="K30" s="106" t="str">
        <f>$B$1</f>
        <v>Creación, Edición, Borrado lógico</v>
      </c>
      <c r="L30" s="25"/>
      <c r="M30" s="25"/>
      <c r="N30" s="25"/>
      <c r="O30" s="25"/>
      <c r="P30" s="25"/>
    </row>
    <row r="31" spans="1:16" ht="45" hidden="1" x14ac:dyDescent="0.25">
      <c r="A31" s="25" t="s">
        <v>987</v>
      </c>
      <c r="B31" s="25" t="s">
        <v>1024</v>
      </c>
      <c r="C31" s="25" t="s">
        <v>965</v>
      </c>
      <c r="D31" s="25" t="s">
        <v>961</v>
      </c>
      <c r="E31" s="100" t="s">
        <v>978</v>
      </c>
      <c r="F31" s="25" t="str">
        <f t="shared" ca="1" si="4"/>
        <v xml:space="preserve">Nombre, Dirección, Teléfono, Correo electrónico </v>
      </c>
      <c r="G31" s="25" t="s">
        <v>1285</v>
      </c>
      <c r="H31" s="25" t="str">
        <f t="shared" ca="1" si="3"/>
        <v>Activa, Inactiva</v>
      </c>
      <c r="I31" s="25"/>
      <c r="J31" s="25" t="str">
        <f t="shared" ca="1" si="2"/>
        <v>Creación, Edición, Borrado lógico</v>
      </c>
      <c r="K31" s="106"/>
      <c r="L31" s="25"/>
      <c r="M31" s="25"/>
      <c r="N31" s="25"/>
      <c r="O31" s="25"/>
      <c r="P31" s="25"/>
    </row>
    <row r="32" spans="1:16" ht="75" hidden="1" x14ac:dyDescent="0.25">
      <c r="A32" s="25" t="s">
        <v>975</v>
      </c>
      <c r="B32" s="25" t="s">
        <v>1025</v>
      </c>
      <c r="C32" s="25" t="s">
        <v>965</v>
      </c>
      <c r="D32" s="25" t="s">
        <v>961</v>
      </c>
      <c r="E32" s="100" t="s">
        <v>958</v>
      </c>
      <c r="F32" s="25" t="str">
        <f t="shared" ca="1" si="4"/>
        <v>Fecha,  Hora,  ID_Sucursal, Clave de Folio, Numeración Folio, ID Usuario, Monto Total, Documento Origen</v>
      </c>
      <c r="G32" s="25" t="s">
        <v>1334</v>
      </c>
      <c r="H32" s="25" t="str">
        <f t="shared" ca="1" si="3"/>
        <v>Abierto, Cerrado</v>
      </c>
      <c r="I32" s="25" t="s">
        <v>1103</v>
      </c>
      <c r="J32" s="25" t="str">
        <f t="shared" ca="1" si="2"/>
        <v>Creación, Edición, Borrado lógico</v>
      </c>
      <c r="K32" s="106"/>
      <c r="L32" s="25"/>
      <c r="M32" s="25" t="s">
        <v>1131</v>
      </c>
      <c r="N32" s="25"/>
      <c r="O32" s="25"/>
      <c r="P32" s="25"/>
    </row>
    <row r="33" spans="1:16" ht="45" hidden="1" x14ac:dyDescent="0.25">
      <c r="A33" s="25" t="s">
        <v>1000</v>
      </c>
      <c r="B33" s="25" t="s">
        <v>1026</v>
      </c>
      <c r="C33" s="25" t="s">
        <v>965</v>
      </c>
      <c r="D33" s="25" t="s">
        <v>979</v>
      </c>
      <c r="E33" s="100" t="s">
        <v>975</v>
      </c>
      <c r="F33" s="25" t="str">
        <f t="shared" ca="1" si="4"/>
        <v>Lista de Tipos de Impuestos, Subtotal</v>
      </c>
      <c r="G33" s="25" t="s">
        <v>1027</v>
      </c>
      <c r="H33" s="25" t="str">
        <f t="shared" ca="1" si="3"/>
        <v>Aplicada, No Aplicada</v>
      </c>
      <c r="I33" s="25"/>
      <c r="J33" s="25">
        <f t="shared" ca="1" si="2"/>
        <v>0</v>
      </c>
      <c r="K33" s="106"/>
      <c r="L33" s="25"/>
      <c r="M33" s="25"/>
      <c r="N33" s="25"/>
      <c r="O33" s="25"/>
      <c r="P33" s="25"/>
    </row>
    <row r="34" spans="1:16" ht="150" hidden="1" x14ac:dyDescent="0.25">
      <c r="A34" s="25" t="s">
        <v>1001</v>
      </c>
      <c r="B34" s="25" t="s">
        <v>1028</v>
      </c>
      <c r="C34" s="25" t="s">
        <v>965</v>
      </c>
      <c r="D34" s="25" t="s">
        <v>1029</v>
      </c>
      <c r="E34" s="100" t="s">
        <v>975</v>
      </c>
      <c r="F34" s="25" t="str">
        <f t="shared" ca="1" si="4"/>
        <v>Lista de Tipos de Impuestos, Subtotal</v>
      </c>
      <c r="G34" s="25" t="s">
        <v>1628</v>
      </c>
      <c r="H34" s="25" t="str">
        <f t="shared" ca="1" si="3"/>
        <v>Aplicada, No Aplicada</v>
      </c>
      <c r="I34" s="25" t="s">
        <v>1197</v>
      </c>
      <c r="J34" s="25">
        <f t="shared" ca="1" si="2"/>
        <v>0</v>
      </c>
      <c r="K34" s="106"/>
      <c r="L34" s="25"/>
      <c r="M34" s="25" t="s">
        <v>1335</v>
      </c>
      <c r="N34" s="25"/>
      <c r="O34" s="25"/>
      <c r="P34" s="25"/>
    </row>
    <row r="35" spans="1:16" ht="30" hidden="1" x14ac:dyDescent="0.25">
      <c r="A35" s="25" t="s">
        <v>993</v>
      </c>
      <c r="B35" s="25" t="s">
        <v>1031</v>
      </c>
      <c r="C35" s="25" t="s">
        <v>965</v>
      </c>
      <c r="D35" s="25" t="s">
        <v>961</v>
      </c>
      <c r="E35" s="100" t="s">
        <v>1329</v>
      </c>
      <c r="F35" s="25" t="str">
        <f t="shared" ca="1" si="4"/>
        <v>SubCuenta de Cargo, SubCuenta de Abono</v>
      </c>
      <c r="G35" s="25" t="s">
        <v>1032</v>
      </c>
      <c r="H35" s="25" t="str">
        <f t="shared" ca="1" si="3"/>
        <v>Aplicada, Cancelada</v>
      </c>
      <c r="I35" s="25" t="s">
        <v>999</v>
      </c>
      <c r="J35" s="25">
        <f t="shared" ca="1" si="2"/>
        <v>0</v>
      </c>
      <c r="K35" s="106" t="str">
        <f>$B$1</f>
        <v>Creación, Edición, Borrado lógico</v>
      </c>
      <c r="L35" s="25"/>
      <c r="M35" s="25"/>
      <c r="N35" s="25"/>
      <c r="O35" s="25"/>
      <c r="P35" s="25"/>
    </row>
    <row r="36" spans="1:16" ht="105" hidden="1" x14ac:dyDescent="0.25">
      <c r="A36" s="25" t="s">
        <v>1002</v>
      </c>
      <c r="B36" s="25" t="s">
        <v>1033</v>
      </c>
      <c r="C36" s="25" t="s">
        <v>965</v>
      </c>
      <c r="D36" s="25" t="s">
        <v>961</v>
      </c>
      <c r="E36" s="100" t="s">
        <v>993</v>
      </c>
      <c r="F36" s="25" t="str">
        <f t="shared" ca="1" si="4"/>
        <v>Nombre de la forma de pago</v>
      </c>
      <c r="G36" s="25" t="s">
        <v>1034</v>
      </c>
      <c r="H36" s="25" t="str">
        <f t="shared" ca="1" si="3"/>
        <v>Activa, Inactiva</v>
      </c>
      <c r="I36" s="25"/>
      <c r="J36" s="25" t="str">
        <f t="shared" ca="1" si="2"/>
        <v>Creación, Edición, Borrado lógico</v>
      </c>
      <c r="K36" s="106"/>
      <c r="L36" s="25"/>
      <c r="M36" s="25" t="s">
        <v>1336</v>
      </c>
      <c r="N36" s="25"/>
      <c r="O36" s="25"/>
      <c r="P36" s="25"/>
    </row>
    <row r="37" spans="1:16" ht="255" hidden="1" x14ac:dyDescent="0.25">
      <c r="A37" s="25" t="s">
        <v>1030</v>
      </c>
      <c r="B37" s="25" t="s">
        <v>1035</v>
      </c>
      <c r="C37" s="25" t="s">
        <v>965</v>
      </c>
      <c r="D37" s="25" t="s">
        <v>961</v>
      </c>
      <c r="E37" s="100" t="s">
        <v>993</v>
      </c>
      <c r="F37" s="102" t="str">
        <f t="shared" ca="1" si="4"/>
        <v>Nombre de la forma de pago</v>
      </c>
      <c r="G37" s="25" t="s">
        <v>1591</v>
      </c>
      <c r="H37" s="102" t="str">
        <f t="shared" ca="1" si="3"/>
        <v>Activa, Inactiva</v>
      </c>
      <c r="I37" s="25"/>
      <c r="J37" s="102" t="str">
        <f t="shared" ca="1" si="2"/>
        <v>Creación, Edición, Borrado lógico</v>
      </c>
      <c r="K37" s="106"/>
      <c r="L37" s="25" t="s">
        <v>1338</v>
      </c>
      <c r="M37" s="25" t="s">
        <v>1337</v>
      </c>
      <c r="N37" s="110"/>
      <c r="O37" s="110"/>
      <c r="P37" s="100"/>
    </row>
    <row r="38" spans="1:16" ht="180" hidden="1" x14ac:dyDescent="0.25">
      <c r="A38" s="25" t="s">
        <v>1341</v>
      </c>
      <c r="B38" s="25" t="s">
        <v>1127</v>
      </c>
      <c r="C38" s="25" t="s">
        <v>965</v>
      </c>
      <c r="D38" s="25" t="s">
        <v>1352</v>
      </c>
      <c r="E38" s="100" t="s">
        <v>1329</v>
      </c>
      <c r="F38" s="25" t="str">
        <f t="shared" ca="1" si="4"/>
        <v>SubCuenta de Cargo, SubCuenta de Abono</v>
      </c>
      <c r="G38" s="25" t="s">
        <v>1128</v>
      </c>
      <c r="H38" s="25" t="str">
        <f t="shared" ca="1" si="3"/>
        <v>Aplicada, Cancelada</v>
      </c>
      <c r="I38" s="25" t="s">
        <v>988</v>
      </c>
      <c r="J38" s="25">
        <f t="shared" ca="1" si="2"/>
        <v>0</v>
      </c>
      <c r="K38" s="106" t="str">
        <f>$B$1</f>
        <v>Creación, Edición, Borrado lógico</v>
      </c>
      <c r="L38" s="25"/>
      <c r="M38" s="25" t="s">
        <v>1348</v>
      </c>
      <c r="N38" s="25"/>
      <c r="O38" s="25"/>
      <c r="P38" s="25"/>
    </row>
    <row r="39" spans="1:16" ht="120" hidden="1" x14ac:dyDescent="0.25">
      <c r="A39" s="25" t="s">
        <v>1342</v>
      </c>
      <c r="B39" s="25" t="s">
        <v>1343</v>
      </c>
      <c r="C39" s="25" t="s">
        <v>965</v>
      </c>
      <c r="D39" s="25" t="s">
        <v>1115</v>
      </c>
      <c r="E39" s="100" t="s">
        <v>1341</v>
      </c>
      <c r="F39" s="25" t="str">
        <f t="shared" ca="1" si="4"/>
        <v>Nombre, Monto Fijo, Porcentaje sobre operación</v>
      </c>
      <c r="G39" s="25"/>
      <c r="H39" s="25" t="str">
        <f t="shared" ca="1" si="3"/>
        <v>Activo, Inactivo</v>
      </c>
      <c r="I39" s="25"/>
      <c r="J39" s="25" t="str">
        <f t="shared" ca="1" si="2"/>
        <v>Creación, Edición, Borrado lógico</v>
      </c>
      <c r="K39" s="106"/>
      <c r="L39" s="25" t="s">
        <v>1346</v>
      </c>
      <c r="M39" s="25"/>
      <c r="N39" s="25"/>
      <c r="O39" s="25"/>
      <c r="P39" s="25"/>
    </row>
    <row r="40" spans="1:16" ht="120" hidden="1" x14ac:dyDescent="0.25">
      <c r="A40" s="25" t="s">
        <v>1355</v>
      </c>
      <c r="B40" s="25" t="s">
        <v>1344</v>
      </c>
      <c r="C40" s="25" t="s">
        <v>965</v>
      </c>
      <c r="D40" s="25" t="s">
        <v>1345</v>
      </c>
      <c r="E40" s="100" t="s">
        <v>1341</v>
      </c>
      <c r="F40" s="25" t="str">
        <f t="shared" ca="1" si="4"/>
        <v>Nombre, Monto Fijo, Porcentaje sobre operación</v>
      </c>
      <c r="G40" s="25"/>
      <c r="H40" s="25" t="str">
        <f t="shared" ca="1" si="3"/>
        <v>Activo, Inactivo</v>
      </c>
      <c r="I40" s="25"/>
      <c r="J40" s="25" t="str">
        <f t="shared" ref="J40:J71" ca="1" si="5">IF(C40&lt;&gt;"S",INDIRECT("K"&amp;MATCH(E40,$A$1:$A$100,0)),"NA")</f>
        <v>Creación, Edición, Borrado lógico</v>
      </c>
      <c r="K40" s="106"/>
      <c r="L40" s="25" t="s">
        <v>1347</v>
      </c>
      <c r="M40" s="25"/>
      <c r="N40" s="25"/>
      <c r="O40" s="25"/>
      <c r="P40" s="25"/>
    </row>
    <row r="41" spans="1:16" ht="60" hidden="1" x14ac:dyDescent="0.25">
      <c r="A41" s="25" t="s">
        <v>972</v>
      </c>
      <c r="B41" s="25" t="s">
        <v>1036</v>
      </c>
      <c r="C41" s="25" t="s">
        <v>964</v>
      </c>
      <c r="D41" s="25" t="s">
        <v>1037</v>
      </c>
      <c r="E41" s="100" t="s">
        <v>961</v>
      </c>
      <c r="F41" s="25" t="str">
        <f t="shared" ca="1" si="4"/>
        <v>NA</v>
      </c>
      <c r="G41" s="25" t="s">
        <v>1041</v>
      </c>
      <c r="H41" s="25" t="str">
        <f t="shared" ca="1" si="3"/>
        <v>NA</v>
      </c>
      <c r="I41" s="25" t="s">
        <v>988</v>
      </c>
      <c r="J41" s="25" t="str">
        <f t="shared" ca="1" si="5"/>
        <v>NA</v>
      </c>
      <c r="K41" s="106" t="str">
        <f>$B$1</f>
        <v>Creación, Edición, Borrado lógico</v>
      </c>
      <c r="L41" s="25"/>
      <c r="M41" s="25"/>
      <c r="N41" s="25"/>
      <c r="O41" s="25"/>
      <c r="P41" s="25"/>
    </row>
    <row r="42" spans="1:16" ht="150" hidden="1" x14ac:dyDescent="0.25">
      <c r="A42" s="25" t="s">
        <v>1510</v>
      </c>
      <c r="B42" s="25" t="s">
        <v>1511</v>
      </c>
      <c r="C42" s="25" t="s">
        <v>964</v>
      </c>
      <c r="D42" s="25" t="s">
        <v>1512</v>
      </c>
      <c r="E42" s="100" t="s">
        <v>961</v>
      </c>
      <c r="F42" s="131" t="str">
        <f t="shared" ca="1" si="4"/>
        <v>NA</v>
      </c>
      <c r="G42" s="25" t="s">
        <v>1513</v>
      </c>
      <c r="H42" s="131" t="str">
        <f t="shared" ca="1" si="3"/>
        <v>NA</v>
      </c>
      <c r="I42" s="25" t="s">
        <v>988</v>
      </c>
      <c r="J42" s="102" t="str">
        <f t="shared" ca="1" si="5"/>
        <v>NA</v>
      </c>
      <c r="K42" s="106"/>
      <c r="L42" s="25"/>
      <c r="M42" s="25" t="s">
        <v>1509</v>
      </c>
      <c r="N42" s="25"/>
      <c r="O42" s="25"/>
      <c r="P42" s="25"/>
    </row>
    <row r="43" spans="1:16" ht="90" hidden="1" x14ac:dyDescent="0.25">
      <c r="A43" s="25" t="s">
        <v>1003</v>
      </c>
      <c r="B43" s="25" t="s">
        <v>1038</v>
      </c>
      <c r="C43" s="25" t="s">
        <v>964</v>
      </c>
      <c r="D43" s="25" t="s">
        <v>1508</v>
      </c>
      <c r="E43" s="100" t="s">
        <v>961</v>
      </c>
      <c r="F43" s="25" t="str">
        <f t="shared" ca="1" si="4"/>
        <v>NA</v>
      </c>
      <c r="G43" s="25" t="s">
        <v>1766</v>
      </c>
      <c r="H43" s="25" t="str">
        <f t="shared" ca="1" si="3"/>
        <v>NA</v>
      </c>
      <c r="I43" s="25" t="s">
        <v>988</v>
      </c>
      <c r="J43" s="25" t="str">
        <f t="shared" ca="1" si="5"/>
        <v>NA</v>
      </c>
      <c r="K43" s="106" t="str">
        <f t="shared" ref="K43:K48" si="6">$B$1</f>
        <v>Creación, Edición, Borrado lógico</v>
      </c>
      <c r="L43" s="25"/>
      <c r="M43" s="25"/>
      <c r="N43" s="25"/>
      <c r="O43" s="25"/>
      <c r="P43" s="25"/>
    </row>
    <row r="44" spans="1:16" ht="75" hidden="1" x14ac:dyDescent="0.25">
      <c r="A44" s="25" t="s">
        <v>1004</v>
      </c>
      <c r="B44" s="25" t="s">
        <v>1040</v>
      </c>
      <c r="C44" s="25" t="s">
        <v>964</v>
      </c>
      <c r="D44" s="25" t="s">
        <v>1364</v>
      </c>
      <c r="E44" s="100" t="s">
        <v>961</v>
      </c>
      <c r="F44" s="25" t="str">
        <f t="shared" ca="1" si="4"/>
        <v>NA</v>
      </c>
      <c r="G44" s="25" t="s">
        <v>1363</v>
      </c>
      <c r="H44" s="25" t="str">
        <f t="shared" ca="1" si="3"/>
        <v>NA</v>
      </c>
      <c r="I44" s="25" t="s">
        <v>988</v>
      </c>
      <c r="J44" s="25" t="str">
        <f t="shared" ca="1" si="5"/>
        <v>NA</v>
      </c>
      <c r="K44" s="106" t="str">
        <f t="shared" si="6"/>
        <v>Creación, Edición, Borrado lógico</v>
      </c>
      <c r="L44" s="25"/>
      <c r="M44" s="25"/>
      <c r="N44" s="25"/>
      <c r="O44" s="25"/>
      <c r="P44" s="25"/>
    </row>
    <row r="45" spans="1:16" ht="60" hidden="1" x14ac:dyDescent="0.25">
      <c r="A45" s="25" t="s">
        <v>1005</v>
      </c>
      <c r="B45" s="25" t="s">
        <v>1042</v>
      </c>
      <c r="C45" s="25" t="s">
        <v>964</v>
      </c>
      <c r="D45" s="25" t="s">
        <v>969</v>
      </c>
      <c r="E45" s="100" t="s">
        <v>961</v>
      </c>
      <c r="F45" s="25" t="str">
        <f t="shared" ca="1" si="4"/>
        <v>NA</v>
      </c>
      <c r="G45" s="25" t="s">
        <v>1043</v>
      </c>
      <c r="H45" s="25" t="str">
        <f t="shared" ca="1" si="3"/>
        <v>NA</v>
      </c>
      <c r="I45" s="25" t="s">
        <v>988</v>
      </c>
      <c r="J45" s="25" t="str">
        <f t="shared" ca="1" si="5"/>
        <v>NA</v>
      </c>
      <c r="K45" s="106" t="str">
        <f t="shared" si="6"/>
        <v>Creación, Edición, Borrado lógico</v>
      </c>
      <c r="L45" s="25"/>
      <c r="M45" s="25"/>
      <c r="N45" s="25"/>
      <c r="O45" s="25"/>
      <c r="P45" s="25"/>
    </row>
    <row r="46" spans="1:16" ht="75" hidden="1" x14ac:dyDescent="0.25">
      <c r="A46" s="25" t="s">
        <v>1006</v>
      </c>
      <c r="B46" s="25" t="s">
        <v>1044</v>
      </c>
      <c r="C46" s="25" t="s">
        <v>964</v>
      </c>
      <c r="D46" s="25" t="s">
        <v>1039</v>
      </c>
      <c r="E46" s="100" t="s">
        <v>961</v>
      </c>
      <c r="F46" s="25" t="str">
        <f t="shared" ca="1" si="4"/>
        <v>NA</v>
      </c>
      <c r="G46" s="25" t="s">
        <v>1080</v>
      </c>
      <c r="H46" s="25" t="str">
        <f t="shared" ca="1" si="3"/>
        <v>NA</v>
      </c>
      <c r="I46" s="25" t="s">
        <v>988</v>
      </c>
      <c r="J46" s="25" t="str">
        <f t="shared" ca="1" si="5"/>
        <v>NA</v>
      </c>
      <c r="K46" s="106" t="str">
        <f t="shared" si="6"/>
        <v>Creación, Edición, Borrado lógico</v>
      </c>
      <c r="L46" s="25"/>
      <c r="M46" s="25"/>
      <c r="N46" s="25"/>
      <c r="O46" s="25"/>
      <c r="P46" s="25"/>
    </row>
    <row r="47" spans="1:16" ht="75" hidden="1" x14ac:dyDescent="0.25">
      <c r="A47" s="25" t="s">
        <v>1045</v>
      </c>
      <c r="B47" s="25" t="s">
        <v>1089</v>
      </c>
      <c r="C47" s="25" t="s">
        <v>964</v>
      </c>
      <c r="D47" s="25" t="s">
        <v>961</v>
      </c>
      <c r="E47" s="100" t="s">
        <v>961</v>
      </c>
      <c r="F47" s="102" t="str">
        <f ca="1">IF(C47&lt;&gt;"S",INDIRECT("F"&amp;MATCH(E47,$A$6:$A$100,0)),"NA")</f>
        <v>NA</v>
      </c>
      <c r="G47" s="25" t="s">
        <v>1504</v>
      </c>
      <c r="H47" s="102" t="str">
        <f ca="1">IF(C47&lt;&gt;"S",INDIRECT("H"&amp;MATCH(E47,$A$6:$A$100,0)),"NA")</f>
        <v>NA</v>
      </c>
      <c r="I47" s="25" t="s">
        <v>988</v>
      </c>
      <c r="J47" s="102" t="str">
        <f t="shared" ca="1" si="5"/>
        <v>NA</v>
      </c>
      <c r="K47" s="106" t="str">
        <f t="shared" si="6"/>
        <v>Creación, Edición, Borrado lógico</v>
      </c>
      <c r="L47" s="25"/>
      <c r="M47" s="25"/>
      <c r="N47" s="25"/>
      <c r="O47" s="25"/>
      <c r="P47" s="25"/>
    </row>
    <row r="48" spans="1:16" ht="90" hidden="1" x14ac:dyDescent="0.25">
      <c r="A48" s="25" t="s">
        <v>1059</v>
      </c>
      <c r="B48" s="25" t="s">
        <v>1058</v>
      </c>
      <c r="C48" s="25" t="s">
        <v>964</v>
      </c>
      <c r="D48" s="25" t="s">
        <v>1039</v>
      </c>
      <c r="E48" s="100" t="s">
        <v>961</v>
      </c>
      <c r="F48" s="25" t="str">
        <f t="shared" ref="F48:F71" ca="1" si="7">IF(C48&lt;&gt;"S",INDIRECT("G"&amp;MATCH(E48,$A$1:$A$100,0)),"NA")</f>
        <v>NA</v>
      </c>
      <c r="G48" s="25" t="s">
        <v>1060</v>
      </c>
      <c r="H48" s="102" t="str">
        <f t="shared" ref="H48:H71" ca="1" si="8">IF(C48&lt;&gt;"S",INDIRECT("I"&amp;MATCH(E48,$A$1:$A$100,0)),"NA")</f>
        <v>NA</v>
      </c>
      <c r="I48" s="25" t="s">
        <v>988</v>
      </c>
      <c r="J48" s="102" t="str">
        <f t="shared" ca="1" si="5"/>
        <v>NA</v>
      </c>
      <c r="K48" s="106" t="str">
        <f t="shared" si="6"/>
        <v>Creación, Edición, Borrado lógico</v>
      </c>
      <c r="L48" s="25"/>
      <c r="M48" s="25"/>
      <c r="N48" s="25"/>
      <c r="O48" s="25"/>
      <c r="P48" s="25"/>
    </row>
    <row r="49" spans="1:16" ht="75" hidden="1" x14ac:dyDescent="0.25">
      <c r="A49" s="25" t="s">
        <v>1057</v>
      </c>
      <c r="B49" s="25" t="s">
        <v>1046</v>
      </c>
      <c r="C49" s="25" t="s">
        <v>965</v>
      </c>
      <c r="D49" s="25" t="s">
        <v>1365</v>
      </c>
      <c r="E49" s="100" t="s">
        <v>969</v>
      </c>
      <c r="F49" s="25" t="str">
        <f t="shared" ca="1" si="7"/>
        <v>Nombre, Tipo de Registro (Mercancía, Bebida) Clasificación</v>
      </c>
      <c r="G49" s="25"/>
      <c r="H49" s="25" t="str">
        <f t="shared" ca="1" si="8"/>
        <v>Activo, Inactivo</v>
      </c>
      <c r="I49" s="25"/>
      <c r="J49" s="25" t="str">
        <f t="shared" ca="1" si="5"/>
        <v>Creación, Edición, Borrado lógico</v>
      </c>
      <c r="K49" s="106"/>
      <c r="L49" s="25"/>
      <c r="M49" s="25" t="s">
        <v>1119</v>
      </c>
      <c r="N49" s="25"/>
      <c r="O49" s="25"/>
      <c r="P49" s="100"/>
    </row>
    <row r="50" spans="1:16" ht="75" hidden="1" x14ac:dyDescent="0.25">
      <c r="A50" s="25" t="s">
        <v>732</v>
      </c>
      <c r="B50" s="25" t="s">
        <v>1047</v>
      </c>
      <c r="C50" s="25" t="s">
        <v>965</v>
      </c>
      <c r="D50" s="25" t="s">
        <v>961</v>
      </c>
      <c r="E50" s="100" t="s">
        <v>996</v>
      </c>
      <c r="F50" s="25" t="str">
        <f t="shared" ca="1" si="7"/>
        <v>ID_Sucursal, Nombre, Descripción</v>
      </c>
      <c r="G50" s="25" t="s">
        <v>1366</v>
      </c>
      <c r="H50" s="25" t="str">
        <f t="shared" ca="1" si="8"/>
        <v>Activo, Inactivo</v>
      </c>
      <c r="I50" s="25" t="s">
        <v>991</v>
      </c>
      <c r="J50" s="25" t="str">
        <f t="shared" ca="1" si="5"/>
        <v>Creación, Edición, Borrado lógico</v>
      </c>
      <c r="K50" s="106"/>
      <c r="L50" s="25"/>
      <c r="M50" s="25"/>
      <c r="N50" s="25"/>
      <c r="O50" s="25"/>
      <c r="P50" s="25"/>
    </row>
    <row r="51" spans="1:16" ht="120" hidden="1" x14ac:dyDescent="0.25">
      <c r="A51" s="25" t="s">
        <v>733</v>
      </c>
      <c r="B51" s="25" t="s">
        <v>1048</v>
      </c>
      <c r="C51" s="25" t="s">
        <v>965</v>
      </c>
      <c r="D51" s="25" t="s">
        <v>961</v>
      </c>
      <c r="E51" s="100" t="s">
        <v>994</v>
      </c>
      <c r="F51" s="25" t="str">
        <f t="shared" ca="1" si="7"/>
        <v>ID_Usuario, Password, Perfil(es)</v>
      </c>
      <c r="G51" s="25" t="s">
        <v>1433</v>
      </c>
      <c r="H51" s="25" t="str">
        <f t="shared" ca="1" si="8"/>
        <v>Activo, Inactivo</v>
      </c>
      <c r="I51" s="25"/>
      <c r="J51" s="25" t="str">
        <f t="shared" ca="1" si="5"/>
        <v>Crear y Modificar Password, Asignar/Desasignar a Perfiles, Envía Mensajes, Recibe Mensajes</v>
      </c>
      <c r="K51" s="106" t="s">
        <v>1100</v>
      </c>
      <c r="L51" s="25"/>
      <c r="M51" s="25"/>
      <c r="N51" s="25"/>
      <c r="O51" s="25"/>
      <c r="P51" s="25"/>
    </row>
    <row r="52" spans="1:16" ht="120" hidden="1" x14ac:dyDescent="0.25">
      <c r="A52" s="25" t="s">
        <v>1050</v>
      </c>
      <c r="B52" s="25" t="s">
        <v>1367</v>
      </c>
      <c r="C52" s="25" t="s">
        <v>965</v>
      </c>
      <c r="D52" s="25" t="s">
        <v>1000</v>
      </c>
      <c r="E52" s="100" t="s">
        <v>1350</v>
      </c>
      <c r="F52" s="102">
        <f t="shared" ca="1" si="7"/>
        <v>0</v>
      </c>
      <c r="G52" s="25" t="s">
        <v>1052</v>
      </c>
      <c r="H52" s="25">
        <f t="shared" ca="1" si="8"/>
        <v>0</v>
      </c>
      <c r="I52" s="25"/>
      <c r="J52" s="102">
        <f t="shared" ca="1" si="5"/>
        <v>0</v>
      </c>
      <c r="K52" s="106"/>
      <c r="L52" s="25" t="s">
        <v>1358</v>
      </c>
      <c r="M52" s="25"/>
      <c r="N52" s="25"/>
      <c r="O52" s="25"/>
      <c r="P52" s="25"/>
    </row>
    <row r="53" spans="1:16" ht="120" hidden="1" x14ac:dyDescent="0.25">
      <c r="A53" s="25" t="s">
        <v>1049</v>
      </c>
      <c r="B53" s="25" t="s">
        <v>1368</v>
      </c>
      <c r="C53" s="25" t="s">
        <v>965</v>
      </c>
      <c r="D53" s="25" t="s">
        <v>1001</v>
      </c>
      <c r="E53" s="100" t="s">
        <v>1356</v>
      </c>
      <c r="F53" s="25">
        <f t="shared" ca="1" si="7"/>
        <v>0</v>
      </c>
      <c r="G53" s="25" t="s">
        <v>1051</v>
      </c>
      <c r="H53" s="25">
        <f t="shared" ca="1" si="8"/>
        <v>0</v>
      </c>
      <c r="I53" s="25"/>
      <c r="J53" s="102">
        <f t="shared" ca="1" si="5"/>
        <v>0</v>
      </c>
      <c r="K53" s="106"/>
      <c r="L53" s="25" t="s">
        <v>1357</v>
      </c>
      <c r="M53" s="25"/>
      <c r="N53" s="25"/>
      <c r="O53" s="25"/>
      <c r="P53" s="25"/>
    </row>
    <row r="54" spans="1:16" ht="75" hidden="1" x14ac:dyDescent="0.25">
      <c r="A54" s="25" t="s">
        <v>979</v>
      </c>
      <c r="B54" s="25" t="s">
        <v>1053</v>
      </c>
      <c r="C54" s="25" t="s">
        <v>965</v>
      </c>
      <c r="D54" s="25" t="s">
        <v>1369</v>
      </c>
      <c r="E54" s="100" t="s">
        <v>958</v>
      </c>
      <c r="F54" s="25" t="str">
        <f t="shared" ca="1" si="7"/>
        <v>Fecha,  Hora,  ID_Sucursal, Clave de Folio, Numeración Folio, ID Usuario, Monto Total, Documento Origen</v>
      </c>
      <c r="G54" s="25" t="s">
        <v>1370</v>
      </c>
      <c r="H54" s="25" t="str">
        <f t="shared" ca="1" si="8"/>
        <v>Abierto, Cerrado</v>
      </c>
      <c r="I54" s="25" t="s">
        <v>1372</v>
      </c>
      <c r="J54" s="25" t="str">
        <f t="shared" ca="1" si="5"/>
        <v>Creación, Edición, Borrado lógico</v>
      </c>
      <c r="K54" s="106"/>
      <c r="L54" s="25"/>
      <c r="M54" s="25" t="s">
        <v>1371</v>
      </c>
      <c r="N54" s="25"/>
      <c r="O54" s="25"/>
      <c r="P54" s="25"/>
    </row>
    <row r="55" spans="1:16" ht="150" hidden="1" x14ac:dyDescent="0.25">
      <c r="A55" s="25" t="s">
        <v>590</v>
      </c>
      <c r="B55" s="25" t="s">
        <v>1054</v>
      </c>
      <c r="C55" s="25" t="s">
        <v>965</v>
      </c>
      <c r="D55" s="25" t="s">
        <v>1193</v>
      </c>
      <c r="E55" s="100" t="s">
        <v>958</v>
      </c>
      <c r="F55" s="25" t="str">
        <f t="shared" ca="1" si="7"/>
        <v>Fecha,  Hora,  ID_Sucursal, Clave de Folio, Numeración Folio, ID Usuario, Monto Total, Documento Origen</v>
      </c>
      <c r="G55" s="25" t="s">
        <v>1194</v>
      </c>
      <c r="H55" s="25" t="str">
        <f t="shared" ca="1" si="8"/>
        <v>Abierto, Cerrado</v>
      </c>
      <c r="I55" s="25" t="s">
        <v>1064</v>
      </c>
      <c r="J55" s="25" t="str">
        <f t="shared" ca="1" si="5"/>
        <v>Creación, Edición, Borrado lógico</v>
      </c>
      <c r="K55" s="106"/>
      <c r="L55" s="25"/>
      <c r="M55" s="25" t="s">
        <v>1373</v>
      </c>
      <c r="N55" s="25"/>
      <c r="O55" s="25"/>
      <c r="P55" s="25"/>
    </row>
    <row r="56" spans="1:16" ht="120" hidden="1" x14ac:dyDescent="0.25">
      <c r="A56" s="25" t="s">
        <v>967</v>
      </c>
      <c r="B56" s="25" t="s">
        <v>1055</v>
      </c>
      <c r="C56" s="25" t="s">
        <v>965</v>
      </c>
      <c r="D56" s="25" t="s">
        <v>590</v>
      </c>
      <c r="E56" s="100" t="s">
        <v>590</v>
      </c>
      <c r="F56" s="25" t="str">
        <f t="shared" ca="1" si="7"/>
        <v>ID del Mesero, ID del Registro Maestro, ID de la Mesa, Número de Comensales</v>
      </c>
      <c r="G56" s="25" t="s">
        <v>1321</v>
      </c>
      <c r="H56" s="25" t="str">
        <f t="shared" ca="1" si="8"/>
        <v>Abierta, Cerrada, Cancelada</v>
      </c>
      <c r="I56" s="25" t="s">
        <v>1063</v>
      </c>
      <c r="J56" s="25">
        <f t="shared" ca="1" si="5"/>
        <v>0</v>
      </c>
      <c r="K56" s="106"/>
      <c r="L56" s="25"/>
      <c r="M56" s="25" t="s">
        <v>1375</v>
      </c>
      <c r="N56" s="25"/>
      <c r="O56" s="25"/>
      <c r="P56" s="25"/>
    </row>
    <row r="57" spans="1:16" ht="120" hidden="1" x14ac:dyDescent="0.25">
      <c r="A57" s="25" t="s">
        <v>966</v>
      </c>
      <c r="B57" s="25" t="s">
        <v>1062</v>
      </c>
      <c r="C57" s="25" t="s">
        <v>965</v>
      </c>
      <c r="D57" s="25" t="s">
        <v>590</v>
      </c>
      <c r="E57" s="100" t="s">
        <v>590</v>
      </c>
      <c r="F57" s="25" t="str">
        <f t="shared" ca="1" si="7"/>
        <v>ID del Mesero, ID del Registro Maestro, ID de la Mesa, Número de Comensales</v>
      </c>
      <c r="G57" s="25" t="s">
        <v>1322</v>
      </c>
      <c r="H57" s="25" t="str">
        <f t="shared" ca="1" si="8"/>
        <v>Abierta, Cerrada, Cancelada</v>
      </c>
      <c r="I57" s="25" t="s">
        <v>1063</v>
      </c>
      <c r="J57" s="25">
        <f t="shared" ca="1" si="5"/>
        <v>0</v>
      </c>
      <c r="K57" s="106"/>
      <c r="L57" s="25"/>
      <c r="M57" s="25" t="s">
        <v>1374</v>
      </c>
      <c r="N57" s="25"/>
      <c r="O57" s="25"/>
      <c r="P57" s="25"/>
    </row>
    <row r="58" spans="1:16" ht="90" hidden="1" x14ac:dyDescent="0.25">
      <c r="A58" s="25" t="s">
        <v>592</v>
      </c>
      <c r="B58" s="25" t="s">
        <v>1066</v>
      </c>
      <c r="C58" s="25" t="s">
        <v>965</v>
      </c>
      <c r="D58" s="25" t="s">
        <v>1376</v>
      </c>
      <c r="E58" s="100" t="s">
        <v>958</v>
      </c>
      <c r="F58" s="25" t="str">
        <f t="shared" ca="1" si="7"/>
        <v>Fecha,  Hora,  ID_Sucursal, Clave de Folio, Numeración Folio, ID Usuario, Monto Total, Documento Origen</v>
      </c>
      <c r="G58" s="25" t="s">
        <v>1767</v>
      </c>
      <c r="H58" s="25" t="str">
        <f t="shared" ca="1" si="8"/>
        <v>Abierto, Cerrado</v>
      </c>
      <c r="I58" s="25" t="s">
        <v>1377</v>
      </c>
      <c r="J58" s="25" t="str">
        <f t="shared" ca="1" si="5"/>
        <v>Creación, Edición, Borrado lógico</v>
      </c>
      <c r="K58" s="106"/>
      <c r="L58" s="25"/>
      <c r="M58" s="25"/>
      <c r="N58" s="25"/>
      <c r="O58" s="25"/>
      <c r="P58" s="25"/>
    </row>
    <row r="59" spans="1:16" ht="195" x14ac:dyDescent="0.25">
      <c r="A59" s="25" t="s">
        <v>571</v>
      </c>
      <c r="B59" s="25" t="s">
        <v>1065</v>
      </c>
      <c r="C59" s="25" t="s">
        <v>965</v>
      </c>
      <c r="D59" s="25" t="s">
        <v>1378</v>
      </c>
      <c r="E59" s="100" t="s">
        <v>1329</v>
      </c>
      <c r="F59" s="25" t="str">
        <f t="shared" ca="1" si="7"/>
        <v>SubCuenta de Cargo, SubCuenta de Abono</v>
      </c>
      <c r="G59" s="25" t="s">
        <v>1380</v>
      </c>
      <c r="H59" s="25" t="str">
        <f t="shared" ca="1" si="8"/>
        <v>Aplicada, Cancelada</v>
      </c>
      <c r="I59" s="25"/>
      <c r="J59" s="25">
        <f t="shared" ca="1" si="5"/>
        <v>0</v>
      </c>
      <c r="K59" s="106"/>
      <c r="L59" s="25" t="s">
        <v>1381</v>
      </c>
      <c r="M59" s="25" t="s">
        <v>1379</v>
      </c>
      <c r="N59" s="25"/>
      <c r="O59" s="25"/>
      <c r="P59" s="25"/>
    </row>
    <row r="60" spans="1:16" ht="315" hidden="1" x14ac:dyDescent="0.25">
      <c r="A60" s="25" t="s">
        <v>676</v>
      </c>
      <c r="B60" s="25" t="s">
        <v>1067</v>
      </c>
      <c r="C60" s="25" t="s">
        <v>965</v>
      </c>
      <c r="D60" s="25" t="s">
        <v>1382</v>
      </c>
      <c r="E60" s="100" t="s">
        <v>1329</v>
      </c>
      <c r="F60" s="25" t="str">
        <f t="shared" ca="1" si="7"/>
        <v>SubCuenta de Cargo, SubCuenta de Abono</v>
      </c>
      <c r="G60" s="25" t="s">
        <v>1383</v>
      </c>
      <c r="H60" s="25" t="str">
        <f t="shared" ca="1" si="8"/>
        <v>Aplicada, Cancelada</v>
      </c>
      <c r="I60" s="25" t="s">
        <v>1073</v>
      </c>
      <c r="J60" s="25">
        <f t="shared" ca="1" si="5"/>
        <v>0</v>
      </c>
      <c r="K60" s="106"/>
      <c r="L60" s="25" t="s">
        <v>1385</v>
      </c>
      <c r="M60" s="25" t="s">
        <v>1384</v>
      </c>
      <c r="N60" s="25"/>
      <c r="O60" s="25"/>
      <c r="P60" s="25"/>
    </row>
    <row r="61" spans="1:16" ht="330" x14ac:dyDescent="0.25">
      <c r="A61" s="25" t="s">
        <v>992</v>
      </c>
      <c r="B61" s="25" t="s">
        <v>1386</v>
      </c>
      <c r="C61" s="25" t="s">
        <v>965</v>
      </c>
      <c r="D61" s="25" t="s">
        <v>1068</v>
      </c>
      <c r="E61" s="100" t="s">
        <v>1329</v>
      </c>
      <c r="F61" s="25" t="str">
        <f t="shared" ca="1" si="7"/>
        <v>SubCuenta de Cargo, SubCuenta de Abono</v>
      </c>
      <c r="G61" s="25" t="s">
        <v>1069</v>
      </c>
      <c r="H61" s="25" t="str">
        <f t="shared" ca="1" si="8"/>
        <v>Aplicada, Cancelada</v>
      </c>
      <c r="I61" s="25"/>
      <c r="J61" s="25">
        <f t="shared" ca="1" si="5"/>
        <v>0</v>
      </c>
      <c r="K61" s="106"/>
      <c r="L61" s="25" t="s">
        <v>1388</v>
      </c>
      <c r="M61" s="25"/>
      <c r="N61" s="25"/>
      <c r="O61" s="25"/>
      <c r="P61" s="25"/>
    </row>
    <row r="62" spans="1:16" ht="105" hidden="1" x14ac:dyDescent="0.25">
      <c r="A62" s="105" t="s">
        <v>1359</v>
      </c>
      <c r="B62" s="25" t="s">
        <v>1360</v>
      </c>
      <c r="C62" s="25" t="s">
        <v>964</v>
      </c>
      <c r="D62" s="25" t="s">
        <v>1361</v>
      </c>
      <c r="E62" s="100" t="s">
        <v>961</v>
      </c>
      <c r="F62" s="25" t="str">
        <f t="shared" ca="1" si="7"/>
        <v>NA</v>
      </c>
      <c r="G62" s="25" t="s">
        <v>1362</v>
      </c>
      <c r="H62" s="25" t="str">
        <f t="shared" ca="1" si="8"/>
        <v>NA</v>
      </c>
      <c r="I62" s="25" t="s">
        <v>988</v>
      </c>
      <c r="J62" s="25" t="str">
        <f t="shared" ca="1" si="5"/>
        <v>NA</v>
      </c>
      <c r="K62" s="106" t="e">
        <f ca="1">IF(D62&lt;&gt;"S",INDIRECT("K"&amp;MATCH(F62,$A$1:$A$100,0)),"NA")</f>
        <v>#N/A</v>
      </c>
      <c r="L62" s="25"/>
      <c r="M62" s="25"/>
      <c r="N62" s="25"/>
      <c r="O62" s="25"/>
      <c r="P62" s="25"/>
    </row>
    <row r="63" spans="1:16" ht="75" hidden="1" x14ac:dyDescent="0.25">
      <c r="A63" s="105" t="s">
        <v>978</v>
      </c>
      <c r="B63" s="25" t="s">
        <v>1070</v>
      </c>
      <c r="C63" s="25" t="s">
        <v>964</v>
      </c>
      <c r="D63" s="25" t="s">
        <v>961</v>
      </c>
      <c r="E63" s="100" t="s">
        <v>961</v>
      </c>
      <c r="F63" s="25" t="str">
        <f t="shared" ca="1" si="7"/>
        <v>NA</v>
      </c>
      <c r="G63" s="25" t="s">
        <v>990</v>
      </c>
      <c r="H63" s="25" t="str">
        <f t="shared" ca="1" si="8"/>
        <v>NA</v>
      </c>
      <c r="I63" s="25" t="s">
        <v>999</v>
      </c>
      <c r="J63" s="25" t="str">
        <f t="shared" ca="1" si="5"/>
        <v>NA</v>
      </c>
      <c r="K63" s="106" t="str">
        <f>$B$1</f>
        <v>Creación, Edición, Borrado lógico</v>
      </c>
      <c r="L63" s="25"/>
      <c r="M63" s="25"/>
      <c r="N63" s="25"/>
      <c r="O63" s="25"/>
      <c r="P63" s="25"/>
    </row>
    <row r="64" spans="1:16" ht="105" hidden="1" x14ac:dyDescent="0.25">
      <c r="A64" s="107" t="s">
        <v>1312</v>
      </c>
      <c r="B64" s="99" t="s">
        <v>1313</v>
      </c>
      <c r="C64" s="99" t="s">
        <v>965</v>
      </c>
      <c r="D64" s="99"/>
      <c r="E64" s="101" t="s">
        <v>978</v>
      </c>
      <c r="F64" s="99" t="str">
        <f t="shared" ca="1" si="7"/>
        <v xml:space="preserve">Nombre, Dirección, Teléfono, Correo electrónico </v>
      </c>
      <c r="G64" s="99" t="s">
        <v>1316</v>
      </c>
      <c r="H64" s="99" t="str">
        <f t="shared" ca="1" si="8"/>
        <v>Activa, Inactiva</v>
      </c>
      <c r="I64" s="99"/>
      <c r="J64" s="127" t="str">
        <f t="shared" ca="1" si="5"/>
        <v>Creación, Edición, Borrado lógico</v>
      </c>
      <c r="K64" s="108"/>
      <c r="L64" s="25"/>
      <c r="M64" s="25"/>
      <c r="N64" s="25"/>
      <c r="O64" s="25"/>
      <c r="P64" s="25"/>
    </row>
    <row r="65" spans="1:16" ht="165" hidden="1" x14ac:dyDescent="0.25">
      <c r="A65" s="105" t="s">
        <v>970</v>
      </c>
      <c r="B65" s="25" t="s">
        <v>1071</v>
      </c>
      <c r="C65" s="25" t="s">
        <v>965</v>
      </c>
      <c r="D65" s="25" t="s">
        <v>971</v>
      </c>
      <c r="E65" s="100" t="s">
        <v>592</v>
      </c>
      <c r="F65" s="25" t="str">
        <f t="shared" ca="1" si="7"/>
        <v>ID_Proveedor, ID_Registro Maestro,  Presentación de Compra, Cantidad, Precio Unitario, Precio Total, ID_Almacen, Cantidad Surtida</v>
      </c>
      <c r="G65" s="25"/>
      <c r="H65" s="25" t="str">
        <f t="shared" ca="1" si="8"/>
        <v>Abierta, Cerrada, Borrador (Estado último estado corresponde únicamente a las Órdenes de compra realizadas mediante un plan de compra)</v>
      </c>
      <c r="I65" s="25" t="s">
        <v>999</v>
      </c>
      <c r="J65" s="25">
        <f t="shared" ca="1" si="5"/>
        <v>0</v>
      </c>
      <c r="K65" s="106"/>
      <c r="L65" s="25"/>
      <c r="M65" s="25"/>
      <c r="N65" s="25"/>
      <c r="O65" s="25"/>
      <c r="P65" s="25"/>
    </row>
    <row r="66" spans="1:16" ht="75" hidden="1" x14ac:dyDescent="0.25">
      <c r="A66" s="105" t="s">
        <v>198</v>
      </c>
      <c r="B66" s="25" t="s">
        <v>1072</v>
      </c>
      <c r="C66" s="25" t="s">
        <v>964</v>
      </c>
      <c r="D66" s="25" t="s">
        <v>1389</v>
      </c>
      <c r="E66" s="100" t="s">
        <v>961</v>
      </c>
      <c r="F66" s="25" t="str">
        <f t="shared" ca="1" si="7"/>
        <v>NA</v>
      </c>
      <c r="G66" s="25" t="s">
        <v>1531</v>
      </c>
      <c r="H66" s="25" t="str">
        <f t="shared" ca="1" si="8"/>
        <v>NA</v>
      </c>
      <c r="I66" s="25" t="s">
        <v>988</v>
      </c>
      <c r="J66" s="25" t="str">
        <f t="shared" ca="1" si="5"/>
        <v>NA</v>
      </c>
      <c r="K66" s="106" t="str">
        <f>$B$1</f>
        <v>Creación, Edición, Borrado lógico</v>
      </c>
      <c r="L66" s="25"/>
      <c r="M66" s="25"/>
      <c r="N66" s="25"/>
      <c r="O66" s="25"/>
      <c r="P66" s="25"/>
    </row>
    <row r="67" spans="1:16" ht="150" hidden="1" x14ac:dyDescent="0.25">
      <c r="A67" s="107" t="s">
        <v>980</v>
      </c>
      <c r="B67" s="99" t="s">
        <v>1074</v>
      </c>
      <c r="C67" s="25" t="s">
        <v>965</v>
      </c>
      <c r="D67" s="25" t="s">
        <v>1329</v>
      </c>
      <c r="E67" s="100" t="s">
        <v>958</v>
      </c>
      <c r="F67" s="25" t="str">
        <f t="shared" ca="1" si="7"/>
        <v>Fecha,  Hora,  ID_Sucursal, Clave de Folio, Numeración Folio, ID Usuario, Monto Total, Documento Origen</v>
      </c>
      <c r="G67" s="99" t="s">
        <v>1332</v>
      </c>
      <c r="H67" s="25" t="str">
        <f t="shared" ca="1" si="8"/>
        <v>Abierto, Cerrado</v>
      </c>
      <c r="I67" s="99" t="s">
        <v>968</v>
      </c>
      <c r="J67" s="25" t="str">
        <f t="shared" ca="1" si="5"/>
        <v>Creación, Edición, Borrado lógico</v>
      </c>
      <c r="K67" s="108"/>
      <c r="L67" s="25"/>
      <c r="M67" s="25"/>
      <c r="N67" s="25"/>
      <c r="O67" s="25"/>
      <c r="P67" s="25"/>
    </row>
    <row r="68" spans="1:16" ht="60" hidden="1" x14ac:dyDescent="0.25">
      <c r="A68" s="105" t="s">
        <v>236</v>
      </c>
      <c r="B68" s="25" t="s">
        <v>1075</v>
      </c>
      <c r="C68" s="25" t="s">
        <v>964</v>
      </c>
      <c r="D68" s="25" t="s">
        <v>961</v>
      </c>
      <c r="E68" s="100" t="s">
        <v>961</v>
      </c>
      <c r="F68" s="25" t="str">
        <f t="shared" ca="1" si="7"/>
        <v>NA</v>
      </c>
      <c r="G68" s="25" t="s">
        <v>1076</v>
      </c>
      <c r="H68" s="25" t="str">
        <f t="shared" ca="1" si="8"/>
        <v>NA</v>
      </c>
      <c r="I68" s="25" t="s">
        <v>999</v>
      </c>
      <c r="J68" s="25" t="str">
        <f t="shared" ca="1" si="5"/>
        <v>NA</v>
      </c>
      <c r="K68" s="106" t="str">
        <f>$B$1</f>
        <v>Creación, Edición, Borrado lógico</v>
      </c>
      <c r="L68" s="25"/>
      <c r="M68" s="25" t="s">
        <v>1396</v>
      </c>
      <c r="N68" s="25"/>
      <c r="O68" s="25"/>
      <c r="P68" s="25"/>
    </row>
    <row r="69" spans="1:16" ht="120" hidden="1" x14ac:dyDescent="0.25">
      <c r="A69" s="107" t="s">
        <v>460</v>
      </c>
      <c r="B69" s="99" t="s">
        <v>1077</v>
      </c>
      <c r="C69" s="25" t="s">
        <v>965</v>
      </c>
      <c r="D69" s="25" t="s">
        <v>1390</v>
      </c>
      <c r="E69" s="100" t="s">
        <v>1314</v>
      </c>
      <c r="F69" s="25" t="str">
        <f t="shared" ca="1" si="7"/>
        <v>Persona de Contacto, Razón Social, Registro Federal de Causantes (RFC), Domicilio Fiscal, Cuenta Contable de Cargo, Cuenta Contable de Abono, Tipo (Cliente, Proveedor)</v>
      </c>
      <c r="G69" s="99" t="s">
        <v>1391</v>
      </c>
      <c r="H69" s="25">
        <f t="shared" ca="1" si="8"/>
        <v>0</v>
      </c>
      <c r="I69" s="99" t="s">
        <v>1019</v>
      </c>
      <c r="J69" s="25">
        <f t="shared" ca="1" si="5"/>
        <v>0</v>
      </c>
      <c r="K69" s="108"/>
      <c r="L69" s="25"/>
      <c r="M69" s="25" t="s">
        <v>1392</v>
      </c>
      <c r="N69" s="25"/>
      <c r="O69" s="25"/>
      <c r="P69" s="25"/>
    </row>
    <row r="70" spans="1:16" ht="60" hidden="1" x14ac:dyDescent="0.25">
      <c r="A70" s="107" t="s">
        <v>969</v>
      </c>
      <c r="B70" s="99" t="s">
        <v>1078</v>
      </c>
      <c r="C70" s="99" t="s">
        <v>964</v>
      </c>
      <c r="D70" s="99" t="s">
        <v>961</v>
      </c>
      <c r="E70" s="101" t="s">
        <v>961</v>
      </c>
      <c r="F70" s="25" t="str">
        <f t="shared" ca="1" si="7"/>
        <v>NA</v>
      </c>
      <c r="G70" s="99" t="s">
        <v>1079</v>
      </c>
      <c r="H70" s="25" t="str">
        <f t="shared" ca="1" si="8"/>
        <v>NA</v>
      </c>
      <c r="I70" s="99" t="s">
        <v>988</v>
      </c>
      <c r="J70" s="25" t="str">
        <f t="shared" ca="1" si="5"/>
        <v>NA</v>
      </c>
      <c r="K70" s="108" t="str">
        <f>$B$1</f>
        <v>Creación, Edición, Borrado lógico</v>
      </c>
      <c r="L70" s="25"/>
      <c r="M70" s="25" t="s">
        <v>1393</v>
      </c>
      <c r="N70" s="99"/>
      <c r="O70" s="99"/>
      <c r="P70" s="99"/>
    </row>
    <row r="71" spans="1:16" ht="60" hidden="1" x14ac:dyDescent="0.25">
      <c r="A71" s="107" t="s">
        <v>1151</v>
      </c>
      <c r="B71" s="99" t="s">
        <v>1327</v>
      </c>
      <c r="C71" s="99" t="s">
        <v>964</v>
      </c>
      <c r="D71" s="99" t="s">
        <v>1325</v>
      </c>
      <c r="E71" s="101" t="s">
        <v>961</v>
      </c>
      <c r="F71" s="99" t="str">
        <f t="shared" ca="1" si="7"/>
        <v>NA</v>
      </c>
      <c r="G71" s="99" t="s">
        <v>1328</v>
      </c>
      <c r="H71" s="99" t="str">
        <f t="shared" ca="1" si="8"/>
        <v>NA</v>
      </c>
      <c r="I71" s="99" t="s">
        <v>999</v>
      </c>
      <c r="J71" s="99" t="str">
        <f t="shared" ca="1" si="5"/>
        <v>NA</v>
      </c>
      <c r="K71" s="108" t="str">
        <f>$B$1</f>
        <v>Creación, Edición, Borrado lógico</v>
      </c>
      <c r="L71" s="99"/>
      <c r="M71" s="99" t="s">
        <v>1394</v>
      </c>
      <c r="N71" s="99"/>
      <c r="O71" s="99"/>
      <c r="P71" s="99"/>
    </row>
    <row r="72" spans="1:16" ht="90" hidden="1" x14ac:dyDescent="0.25">
      <c r="A72" s="107" t="s">
        <v>318</v>
      </c>
      <c r="B72" s="99" t="s">
        <v>1139</v>
      </c>
      <c r="C72" s="99" t="s">
        <v>964</v>
      </c>
      <c r="D72" s="99" t="s">
        <v>961</v>
      </c>
      <c r="E72" s="101" t="s">
        <v>961</v>
      </c>
      <c r="F72" s="127" t="str">
        <f ca="1">IF(C72&lt;&gt;"S",INDIRECT("F"&amp;MATCH(E72,$A$6:$A$100,0)),"NA")</f>
        <v>NA</v>
      </c>
      <c r="G72" s="99" t="s">
        <v>1141</v>
      </c>
      <c r="H72" s="127" t="str">
        <f ca="1">IF(C72&lt;&gt;"S",INDIRECT("H"&amp;MATCH(E72,$A$6:$A$100,0)),"NA")</f>
        <v>NA</v>
      </c>
      <c r="I72" s="99" t="s">
        <v>988</v>
      </c>
      <c r="J72" s="127" t="str">
        <f t="shared" ref="J72:J85" ca="1" si="9">IF(C72&lt;&gt;"S",INDIRECT("K"&amp;MATCH(E72,$A$1:$A$100,0)),"NA")</f>
        <v>NA</v>
      </c>
      <c r="K72" s="108" t="str">
        <f>$B$1</f>
        <v>Creación, Edición, Borrado lógico</v>
      </c>
      <c r="L72" s="99"/>
      <c r="M72" s="99" t="s">
        <v>1395</v>
      </c>
      <c r="N72" s="99"/>
      <c r="O72" s="99"/>
      <c r="P72" s="99"/>
    </row>
    <row r="73" spans="1:16" ht="75" hidden="1" x14ac:dyDescent="0.25">
      <c r="A73" s="107" t="s">
        <v>998</v>
      </c>
      <c r="B73" s="99" t="s">
        <v>1081</v>
      </c>
      <c r="C73" s="99" t="s">
        <v>964</v>
      </c>
      <c r="D73" s="99" t="s">
        <v>961</v>
      </c>
      <c r="E73" s="101" t="s">
        <v>961</v>
      </c>
      <c r="F73" s="99" t="str">
        <f t="shared" ref="F73:F81" ca="1" si="10">IF(C73&lt;&gt;"S",INDIRECT("G"&amp;MATCH(E73,$A$1:$A$100,0)),"NA")</f>
        <v>NA</v>
      </c>
      <c r="G73" s="99" t="s">
        <v>1082</v>
      </c>
      <c r="H73" s="99" t="str">
        <f t="shared" ref="H73:H81" ca="1" si="11">IF(C73&lt;&gt;"S",INDIRECT("I"&amp;MATCH(E73,$A$1:$A$100,0)),"NA")</f>
        <v>NA</v>
      </c>
      <c r="I73" s="99"/>
      <c r="J73" s="99" t="str">
        <f t="shared" ca="1" si="9"/>
        <v>NA</v>
      </c>
      <c r="K73" s="108" t="str">
        <f>$B$1</f>
        <v>Creación, Edición, Borrado lógico</v>
      </c>
      <c r="L73" s="99"/>
      <c r="M73" s="99" t="s">
        <v>1395</v>
      </c>
      <c r="N73" s="99"/>
      <c r="O73" s="99"/>
      <c r="P73" s="99"/>
    </row>
    <row r="74" spans="1:16" ht="120" hidden="1" x14ac:dyDescent="0.25">
      <c r="A74" s="107" t="s">
        <v>976</v>
      </c>
      <c r="B74" s="99" t="s">
        <v>1398</v>
      </c>
      <c r="C74" s="99" t="s">
        <v>965</v>
      </c>
      <c r="D74" s="99" t="s">
        <v>961</v>
      </c>
      <c r="E74" s="101" t="s">
        <v>1329</v>
      </c>
      <c r="F74" s="99" t="str">
        <f t="shared" ca="1" si="10"/>
        <v>SubCuenta de Cargo, SubCuenta de Abono</v>
      </c>
      <c r="G74" s="99" t="s">
        <v>1400</v>
      </c>
      <c r="H74" s="99" t="str">
        <f t="shared" ca="1" si="11"/>
        <v>Aplicada, Cancelada</v>
      </c>
      <c r="I74" s="99"/>
      <c r="J74" s="99">
        <f t="shared" ca="1" si="9"/>
        <v>0</v>
      </c>
      <c r="K74" s="108"/>
      <c r="L74" s="99" t="s">
        <v>1397</v>
      </c>
      <c r="M74" s="99" t="s">
        <v>1402</v>
      </c>
      <c r="N74" s="99"/>
      <c r="O74" s="99"/>
      <c r="P74" s="99"/>
    </row>
    <row r="75" spans="1:16" ht="135" hidden="1" x14ac:dyDescent="0.25">
      <c r="A75" s="105" t="s">
        <v>973</v>
      </c>
      <c r="B75" s="25" t="s">
        <v>1084</v>
      </c>
      <c r="C75" s="25" t="s">
        <v>965</v>
      </c>
      <c r="D75" s="25" t="s">
        <v>961</v>
      </c>
      <c r="E75" s="100" t="s">
        <v>1329</v>
      </c>
      <c r="F75" s="25" t="str">
        <f t="shared" ca="1" si="10"/>
        <v>SubCuenta de Cargo, SubCuenta de Abono</v>
      </c>
      <c r="G75" s="25" t="s">
        <v>1674</v>
      </c>
      <c r="H75" s="25" t="str">
        <f t="shared" ca="1" si="11"/>
        <v>Aplicada, Cancelada</v>
      </c>
      <c r="I75" s="25" t="s">
        <v>961</v>
      </c>
      <c r="J75" s="25">
        <f t="shared" ca="1" si="9"/>
        <v>0</v>
      </c>
      <c r="K75" s="106"/>
      <c r="L75" s="25" t="s">
        <v>1401</v>
      </c>
      <c r="M75" s="25" t="s">
        <v>1403</v>
      </c>
      <c r="N75" s="25"/>
      <c r="O75" s="25"/>
      <c r="P75" s="25"/>
    </row>
    <row r="76" spans="1:16" ht="30" hidden="1" x14ac:dyDescent="0.25">
      <c r="A76" s="105" t="s">
        <v>996</v>
      </c>
      <c r="B76" s="25" t="s">
        <v>1085</v>
      </c>
      <c r="C76" s="25" t="s">
        <v>964</v>
      </c>
      <c r="D76" s="25" t="s">
        <v>1286</v>
      </c>
      <c r="E76" s="100" t="s">
        <v>961</v>
      </c>
      <c r="F76" s="25" t="str">
        <f t="shared" ca="1" si="10"/>
        <v>NA</v>
      </c>
      <c r="G76" s="25" t="s">
        <v>1086</v>
      </c>
      <c r="H76" s="25" t="str">
        <f t="shared" ca="1" si="11"/>
        <v>NA</v>
      </c>
      <c r="I76" s="25" t="s">
        <v>988</v>
      </c>
      <c r="J76" s="25" t="str">
        <f t="shared" ca="1" si="9"/>
        <v>NA</v>
      </c>
      <c r="K76" s="106" t="str">
        <f>$B$1</f>
        <v>Creación, Edición, Borrado lógico</v>
      </c>
      <c r="L76" s="25"/>
      <c r="M76" s="25" t="s">
        <v>1287</v>
      </c>
      <c r="N76" s="25"/>
      <c r="O76" s="25"/>
      <c r="P76" s="25"/>
    </row>
    <row r="77" spans="1:16" ht="75" hidden="1" x14ac:dyDescent="0.25">
      <c r="A77" s="105" t="s">
        <v>149</v>
      </c>
      <c r="B77" s="25" t="s">
        <v>1088</v>
      </c>
      <c r="C77" s="25" t="s">
        <v>964</v>
      </c>
      <c r="D77" s="25" t="s">
        <v>961</v>
      </c>
      <c r="E77" s="100" t="s">
        <v>961</v>
      </c>
      <c r="F77" s="102" t="str">
        <f t="shared" ca="1" si="10"/>
        <v>NA</v>
      </c>
      <c r="G77" s="25" t="s">
        <v>1061</v>
      </c>
      <c r="H77" s="102" t="str">
        <f t="shared" ca="1" si="11"/>
        <v>NA</v>
      </c>
      <c r="I77" s="25"/>
      <c r="J77" s="102" t="str">
        <f t="shared" ca="1" si="9"/>
        <v>NA</v>
      </c>
      <c r="K77" s="106" t="str">
        <f>$B$1</f>
        <v>Creación, Edición, Borrado lógico</v>
      </c>
      <c r="L77" s="25"/>
      <c r="M77" s="25" t="s">
        <v>1396</v>
      </c>
      <c r="N77" s="25"/>
      <c r="O77" s="25"/>
      <c r="P77" s="25"/>
    </row>
    <row r="78" spans="1:16" ht="90" hidden="1" x14ac:dyDescent="0.25">
      <c r="A78" s="105" t="s">
        <v>994</v>
      </c>
      <c r="B78" s="25" t="s">
        <v>1087</v>
      </c>
      <c r="C78" s="25" t="s">
        <v>965</v>
      </c>
      <c r="D78" s="25" t="s">
        <v>961</v>
      </c>
      <c r="E78" s="100" t="s">
        <v>987</v>
      </c>
      <c r="F78" s="25" t="str">
        <f t="shared" ca="1" si="10"/>
        <v>Puesto, ID_Sucursal</v>
      </c>
      <c r="G78" s="25" t="s">
        <v>995</v>
      </c>
      <c r="H78" s="25">
        <f t="shared" ca="1" si="11"/>
        <v>0</v>
      </c>
      <c r="I78" s="25" t="s">
        <v>988</v>
      </c>
      <c r="J78" s="25">
        <f t="shared" ca="1" si="9"/>
        <v>0</v>
      </c>
      <c r="K78" s="106" t="s">
        <v>1557</v>
      </c>
      <c r="L78" s="25"/>
      <c r="M78" s="25" t="s">
        <v>1404</v>
      </c>
      <c r="N78" s="25"/>
      <c r="O78" s="25"/>
      <c r="P78" s="25"/>
    </row>
    <row r="79" spans="1:16" ht="150" hidden="1" x14ac:dyDescent="0.25">
      <c r="A79" s="105" t="s">
        <v>1098</v>
      </c>
      <c r="B79" s="25" t="s">
        <v>1134</v>
      </c>
      <c r="C79" s="25" t="s">
        <v>965</v>
      </c>
      <c r="D79" s="25" t="s">
        <v>961</v>
      </c>
      <c r="E79" s="100" t="s">
        <v>994</v>
      </c>
      <c r="F79" s="25" t="str">
        <f t="shared" ca="1" si="10"/>
        <v>ID_Usuario, Password, Perfil(es)</v>
      </c>
      <c r="G79" s="25"/>
      <c r="H79" s="25" t="str">
        <f t="shared" ca="1" si="11"/>
        <v>Activo, Inactivo</v>
      </c>
      <c r="I79" s="25"/>
      <c r="J79" s="25" t="str">
        <f t="shared" ca="1" si="9"/>
        <v>Crear y Modificar Password, Asignar/Desasignar a Perfiles, Envía Mensajes, Recibe Mensajes</v>
      </c>
      <c r="K79" s="106" t="s">
        <v>1185</v>
      </c>
      <c r="L79" s="25"/>
      <c r="M79" s="25"/>
      <c r="N79" s="25"/>
      <c r="O79" s="25"/>
      <c r="P79" s="25"/>
    </row>
    <row r="80" spans="1:16" ht="135" hidden="1" x14ac:dyDescent="0.25">
      <c r="A80" s="105" t="s">
        <v>1093</v>
      </c>
      <c r="B80" s="25" t="s">
        <v>1133</v>
      </c>
      <c r="C80" s="25" t="s">
        <v>965</v>
      </c>
      <c r="D80" s="25" t="s">
        <v>961</v>
      </c>
      <c r="E80" s="100" t="s">
        <v>994</v>
      </c>
      <c r="F80" s="25" t="str">
        <f t="shared" ca="1" si="10"/>
        <v>ID_Usuario, Password, Perfil(es)</v>
      </c>
      <c r="G80" s="25"/>
      <c r="H80" s="25" t="str">
        <f t="shared" ca="1" si="11"/>
        <v>Activo, Inactivo</v>
      </c>
      <c r="I80" s="25"/>
      <c r="J80" s="25" t="str">
        <f t="shared" ca="1" si="9"/>
        <v>Crear y Modificar Password, Asignar/Desasignar a Perfiles, Envía Mensajes, Recibe Mensajes</v>
      </c>
      <c r="K80" s="106" t="s">
        <v>1097</v>
      </c>
      <c r="L80" s="25"/>
      <c r="M80" s="25"/>
      <c r="N80" s="25"/>
      <c r="O80" s="25"/>
      <c r="P80" s="25"/>
    </row>
    <row r="81" spans="1:16" ht="120" hidden="1" x14ac:dyDescent="0.25">
      <c r="A81" s="107" t="s">
        <v>1092</v>
      </c>
      <c r="B81" s="99" t="s">
        <v>1132</v>
      </c>
      <c r="C81" s="99" t="s">
        <v>965</v>
      </c>
      <c r="D81" s="99" t="s">
        <v>961</v>
      </c>
      <c r="E81" s="101" t="s">
        <v>994</v>
      </c>
      <c r="F81" s="99" t="str">
        <f t="shared" ca="1" si="10"/>
        <v>ID_Usuario, Password, Perfil(es)</v>
      </c>
      <c r="G81" s="99"/>
      <c r="H81" s="99" t="str">
        <f t="shared" ca="1" si="11"/>
        <v>Activo, Inactivo</v>
      </c>
      <c r="I81" s="99"/>
      <c r="J81" s="99" t="str">
        <f t="shared" ca="1" si="9"/>
        <v>Crear y Modificar Password, Asignar/Desasignar a Perfiles, Envía Mensajes, Recibe Mensajes</v>
      </c>
      <c r="K81" s="108" t="s">
        <v>1096</v>
      </c>
      <c r="L81" s="99"/>
      <c r="M81" s="99"/>
      <c r="N81" s="99"/>
      <c r="O81" s="99"/>
      <c r="P81" s="99"/>
    </row>
    <row r="82" spans="1:16" ht="90" hidden="1" x14ac:dyDescent="0.25">
      <c r="A82" s="105" t="s">
        <v>1528</v>
      </c>
      <c r="B82" s="25" t="s">
        <v>1530</v>
      </c>
      <c r="C82" s="25" t="s">
        <v>964</v>
      </c>
      <c r="D82" s="25" t="s">
        <v>1529</v>
      </c>
      <c r="E82" s="100" t="s">
        <v>961</v>
      </c>
      <c r="F82" s="25" t="str">
        <f t="shared" ref="F82:F100" ca="1" si="12">IF(C82&lt;&gt;"S",INDIRECT("G"&amp;MATCH(E82,$A$1:$A$100,0)),"NA")</f>
        <v>NA</v>
      </c>
      <c r="G82" s="25" t="s">
        <v>1533</v>
      </c>
      <c r="H82" s="25" t="str">
        <f t="shared" ref="H82:H100" ca="1" si="13">IF(C82&lt;&gt;"S",INDIRECT("I"&amp;MATCH(E82,$A$1:$A$100,0)),"NA")</f>
        <v>NA</v>
      </c>
      <c r="I82" s="25" t="s">
        <v>988</v>
      </c>
      <c r="J82" s="25" t="str">
        <f t="shared" ca="1" si="9"/>
        <v>NA</v>
      </c>
      <c r="K82" s="106" t="str">
        <f>$B$1</f>
        <v>Creación, Edición, Borrado lógico</v>
      </c>
      <c r="L82" s="25"/>
      <c r="M82" s="25" t="s">
        <v>1297</v>
      </c>
      <c r="N82" s="25"/>
      <c r="O82" s="25"/>
      <c r="P82" s="25"/>
    </row>
    <row r="83" spans="1:16" ht="75" hidden="1" x14ac:dyDescent="0.25">
      <c r="A83" s="107" t="s">
        <v>1552</v>
      </c>
      <c r="B83" s="99" t="s">
        <v>1553</v>
      </c>
      <c r="C83" s="99" t="s">
        <v>964</v>
      </c>
      <c r="D83" s="99" t="s">
        <v>961</v>
      </c>
      <c r="E83" s="101" t="s">
        <v>961</v>
      </c>
      <c r="F83" s="132" t="s">
        <v>961</v>
      </c>
      <c r="G83" s="99" t="s">
        <v>1554</v>
      </c>
      <c r="H83" s="132" t="str">
        <f t="shared" ca="1" si="13"/>
        <v>NA</v>
      </c>
      <c r="I83" s="99" t="s">
        <v>988</v>
      </c>
      <c r="J83" s="127" t="str">
        <f t="shared" ca="1" si="9"/>
        <v>NA</v>
      </c>
      <c r="K83" s="108"/>
      <c r="L83" s="99"/>
      <c r="M83" s="99"/>
      <c r="N83" s="99"/>
      <c r="O83" s="99"/>
      <c r="P83" s="99"/>
    </row>
    <row r="84" spans="1:16" ht="120" hidden="1" x14ac:dyDescent="0.25">
      <c r="A84" s="107" t="s">
        <v>1568</v>
      </c>
      <c r="B84" s="99" t="s">
        <v>1569</v>
      </c>
      <c r="C84" s="99" t="s">
        <v>965</v>
      </c>
      <c r="D84" s="99" t="s">
        <v>979</v>
      </c>
      <c r="E84" s="101" t="s">
        <v>1329</v>
      </c>
      <c r="F84" s="132" t="str">
        <f t="shared" ca="1" si="12"/>
        <v>SubCuenta de Cargo, SubCuenta de Abono</v>
      </c>
      <c r="G84" s="99" t="s">
        <v>1571</v>
      </c>
      <c r="H84" s="132" t="str">
        <f t="shared" ca="1" si="13"/>
        <v>Aplicada, Cancelada</v>
      </c>
      <c r="I84" s="99"/>
      <c r="J84" s="127">
        <f t="shared" ca="1" si="9"/>
        <v>0</v>
      </c>
      <c r="K84" s="108"/>
      <c r="L84" s="99"/>
      <c r="M84" s="99"/>
      <c r="N84" s="99"/>
      <c r="O84" s="99"/>
      <c r="P84" s="99"/>
    </row>
    <row r="85" spans="1:16" ht="45" hidden="1" x14ac:dyDescent="0.25">
      <c r="A85" s="107" t="s">
        <v>1587</v>
      </c>
      <c r="B85" s="99" t="s">
        <v>1588</v>
      </c>
      <c r="C85" s="99" t="s">
        <v>965</v>
      </c>
      <c r="D85" s="99" t="s">
        <v>961</v>
      </c>
      <c r="E85" s="101" t="s">
        <v>1329</v>
      </c>
      <c r="F85" s="99" t="str">
        <f t="shared" ca="1" si="12"/>
        <v>SubCuenta de Cargo, SubCuenta de Abono</v>
      </c>
      <c r="G85" s="99" t="s">
        <v>1765</v>
      </c>
      <c r="H85" s="99" t="str">
        <f t="shared" ca="1" si="13"/>
        <v>Aplicada, Cancelada</v>
      </c>
      <c r="I85" s="99"/>
      <c r="J85" s="99">
        <f t="shared" ca="1" si="9"/>
        <v>0</v>
      </c>
      <c r="K85" s="108"/>
      <c r="L85" s="99"/>
      <c r="M85" s="99"/>
      <c r="N85" s="99"/>
      <c r="O85" s="99"/>
      <c r="P85" s="99"/>
    </row>
    <row r="86" spans="1:16" ht="75" hidden="1" x14ac:dyDescent="0.25">
      <c r="A86" s="107" t="s">
        <v>1772</v>
      </c>
      <c r="B86" s="99" t="s">
        <v>1773</v>
      </c>
      <c r="C86" s="99" t="s">
        <v>965</v>
      </c>
      <c r="D86" s="99" t="s">
        <v>1774</v>
      </c>
      <c r="E86" s="101" t="s">
        <v>958</v>
      </c>
      <c r="F86" s="132" t="str">
        <f t="shared" ca="1" si="12"/>
        <v>Fecha,  Hora,  ID_Sucursal, Clave de Folio, Numeración Folio, ID Usuario, Monto Total, Documento Origen</v>
      </c>
      <c r="G86" s="99" t="s">
        <v>1775</v>
      </c>
      <c r="H86" s="132" t="str">
        <f t="shared" ca="1" si="13"/>
        <v>Abierto, Cerrado</v>
      </c>
      <c r="I86" s="99"/>
      <c r="J86" s="127" t="str">
        <f ca="1">IF(C86&lt;&gt;"S",INDIRECT("K"&amp;MATCH(E86,$A$1:$A$100,0)),"NA")</f>
        <v>Creación, Edición, Borrado lógico</v>
      </c>
      <c r="K86" s="108"/>
      <c r="L86" s="99"/>
      <c r="M86" s="99"/>
      <c r="N86" s="99"/>
      <c r="O86" s="99"/>
      <c r="P86" s="99"/>
    </row>
    <row r="87" spans="1:16" x14ac:dyDescent="0.25">
      <c r="D87" s="93"/>
      <c r="E87" s="22"/>
      <c r="F87" s="112" t="e">
        <f t="shared" ca="1" si="12"/>
        <v>#N/A</v>
      </c>
      <c r="G87" s="93"/>
      <c r="H87" s="112" t="e">
        <f t="shared" ca="1" si="13"/>
        <v>#N/A</v>
      </c>
    </row>
    <row r="88" spans="1:16" x14ac:dyDescent="0.25">
      <c r="D88" s="93"/>
      <c r="E88" s="22"/>
      <c r="F88" s="112" t="e">
        <f t="shared" ca="1" si="12"/>
        <v>#N/A</v>
      </c>
      <c r="G88" s="93"/>
      <c r="H88" s="112" t="e">
        <f t="shared" ca="1" si="13"/>
        <v>#N/A</v>
      </c>
    </row>
    <row r="89" spans="1:16" x14ac:dyDescent="0.25">
      <c r="D89" s="93"/>
      <c r="E89" s="22"/>
      <c r="F89" s="112" t="e">
        <f t="shared" ca="1" si="12"/>
        <v>#N/A</v>
      </c>
      <c r="G89" s="93"/>
      <c r="H89" s="112" t="e">
        <f t="shared" ca="1" si="13"/>
        <v>#N/A</v>
      </c>
    </row>
    <row r="90" spans="1:16" x14ac:dyDescent="0.25">
      <c r="D90" s="93"/>
      <c r="E90" s="22"/>
      <c r="F90" s="112" t="e">
        <f t="shared" ca="1" si="12"/>
        <v>#N/A</v>
      </c>
      <c r="G90" s="93"/>
      <c r="H90" s="112" t="e">
        <f t="shared" ca="1" si="13"/>
        <v>#N/A</v>
      </c>
    </row>
    <row r="91" spans="1:16" x14ac:dyDescent="0.25">
      <c r="D91" s="93"/>
      <c r="E91" s="22"/>
      <c r="F91" s="112" t="e">
        <f t="shared" ca="1" si="12"/>
        <v>#N/A</v>
      </c>
      <c r="G91" s="93"/>
      <c r="H91" s="112" t="e">
        <f t="shared" ca="1" si="13"/>
        <v>#N/A</v>
      </c>
    </row>
    <row r="92" spans="1:16" x14ac:dyDescent="0.25">
      <c r="D92" s="93"/>
      <c r="E92" s="22"/>
      <c r="F92" s="112" t="e">
        <f t="shared" ca="1" si="12"/>
        <v>#N/A</v>
      </c>
      <c r="G92" s="93"/>
      <c r="H92" s="112" t="e">
        <f t="shared" ca="1" si="13"/>
        <v>#N/A</v>
      </c>
    </row>
    <row r="93" spans="1:16" x14ac:dyDescent="0.25">
      <c r="D93" s="93"/>
      <c r="E93" s="22"/>
      <c r="F93" s="112" t="e">
        <f t="shared" ca="1" si="12"/>
        <v>#N/A</v>
      </c>
      <c r="G93" s="93"/>
      <c r="H93" s="112" t="e">
        <f t="shared" ca="1" si="13"/>
        <v>#N/A</v>
      </c>
    </row>
    <row r="94" spans="1:16" x14ac:dyDescent="0.25">
      <c r="D94" s="93"/>
      <c r="E94" s="22"/>
      <c r="F94" s="112" t="e">
        <f t="shared" ca="1" si="12"/>
        <v>#N/A</v>
      </c>
      <c r="G94" s="93"/>
      <c r="H94" s="112" t="e">
        <f t="shared" ca="1" si="13"/>
        <v>#N/A</v>
      </c>
    </row>
    <row r="95" spans="1:16" x14ac:dyDescent="0.25">
      <c r="D95" s="93"/>
      <c r="E95" s="22"/>
      <c r="F95" s="112" t="e">
        <f t="shared" ca="1" si="12"/>
        <v>#N/A</v>
      </c>
      <c r="G95" s="93"/>
      <c r="H95" s="112" t="e">
        <f t="shared" ca="1" si="13"/>
        <v>#N/A</v>
      </c>
    </row>
    <row r="96" spans="1:16" x14ac:dyDescent="0.25">
      <c r="D96" s="93"/>
      <c r="E96" s="22"/>
      <c r="F96" s="112" t="e">
        <f t="shared" ca="1" si="12"/>
        <v>#N/A</v>
      </c>
      <c r="G96" s="93"/>
      <c r="H96" s="112" t="e">
        <f t="shared" ca="1" si="13"/>
        <v>#N/A</v>
      </c>
    </row>
    <row r="97" spans="4:18" x14ac:dyDescent="0.25">
      <c r="D97" s="93"/>
      <c r="E97" s="22"/>
      <c r="F97" s="112" t="e">
        <f t="shared" ca="1" si="12"/>
        <v>#N/A</v>
      </c>
      <c r="G97" s="93"/>
      <c r="H97" s="112" t="e">
        <f t="shared" ca="1" si="13"/>
        <v>#N/A</v>
      </c>
    </row>
    <row r="98" spans="4:18" x14ac:dyDescent="0.25">
      <c r="D98" s="93"/>
      <c r="E98" s="22"/>
      <c r="F98" s="112" t="e">
        <f t="shared" ca="1" si="12"/>
        <v>#N/A</v>
      </c>
      <c r="G98" s="93"/>
      <c r="H98" s="112" t="e">
        <f t="shared" ca="1" si="13"/>
        <v>#N/A</v>
      </c>
    </row>
    <row r="99" spans="4:18" x14ac:dyDescent="0.25">
      <c r="D99" s="93"/>
      <c r="E99" s="22"/>
      <c r="F99" s="112" t="e">
        <f t="shared" ca="1" si="12"/>
        <v>#N/A</v>
      </c>
      <c r="G99" s="93"/>
      <c r="H99" s="112" t="e">
        <f t="shared" ca="1" si="13"/>
        <v>#N/A</v>
      </c>
    </row>
    <row r="100" spans="4:18" x14ac:dyDescent="0.25">
      <c r="D100" s="93"/>
      <c r="E100" s="22"/>
      <c r="F100" s="112" t="e">
        <f t="shared" ca="1" si="12"/>
        <v>#N/A</v>
      </c>
      <c r="G100" s="93"/>
      <c r="H100" s="112" t="e">
        <f t="shared" ca="1" si="13"/>
        <v>#N/A</v>
      </c>
    </row>
    <row r="107" spans="4:18" x14ac:dyDescent="0.25">
      <c r="E107" t="s">
        <v>1669</v>
      </c>
      <c r="F107" t="s">
        <v>95</v>
      </c>
      <c r="G107" t="s">
        <v>1670</v>
      </c>
      <c r="H107" t="s">
        <v>267</v>
      </c>
      <c r="K107" s="128">
        <v>50</v>
      </c>
    </row>
    <row r="108" spans="4:18" x14ac:dyDescent="0.25">
      <c r="D108">
        <v>1</v>
      </c>
      <c r="E108" t="s">
        <v>1671</v>
      </c>
      <c r="F108" s="146">
        <v>42084</v>
      </c>
      <c r="G108">
        <v>5</v>
      </c>
      <c r="H108">
        <v>100</v>
      </c>
      <c r="I108">
        <f>H108*G108</f>
        <v>500</v>
      </c>
      <c r="K108">
        <v>5</v>
      </c>
      <c r="L108" s="128">
        <v>2</v>
      </c>
      <c r="M108" s="128">
        <f>K108*L108</f>
        <v>10</v>
      </c>
      <c r="N108" s="118">
        <f>M108/$M$112</f>
        <v>8.2644628099173556E-2</v>
      </c>
      <c r="O108" s="129">
        <f>N108*$K$107</f>
        <v>4.1322314049586781</v>
      </c>
      <c r="P108" s="129">
        <f>M108+O108</f>
        <v>14.132231404958677</v>
      </c>
      <c r="R108" s="129">
        <f>P108/K108</f>
        <v>2.8264462809917354</v>
      </c>
    </row>
    <row r="109" spans="4:18" x14ac:dyDescent="0.25">
      <c r="D109">
        <v>2</v>
      </c>
      <c r="E109" t="s">
        <v>1672</v>
      </c>
      <c r="F109" s="146">
        <v>42085</v>
      </c>
      <c r="G109">
        <v>5.5</v>
      </c>
      <c r="H109">
        <v>103</v>
      </c>
      <c r="I109">
        <f>H109*G109</f>
        <v>566.5</v>
      </c>
      <c r="K109">
        <v>20</v>
      </c>
      <c r="L109" s="129">
        <v>1.5</v>
      </c>
      <c r="M109" s="128">
        <f t="shared" ref="M109:M111" si="14">K109*L109</f>
        <v>30</v>
      </c>
      <c r="N109" s="118">
        <f>M109/$M$112</f>
        <v>0.24793388429752067</v>
      </c>
      <c r="O109" s="129">
        <f>N109*$K$107</f>
        <v>12.396694214876034</v>
      </c>
      <c r="P109" s="129">
        <f>M109+O109</f>
        <v>42.396694214876035</v>
      </c>
      <c r="R109" s="129">
        <f>P109/K109</f>
        <v>2.1198347107438016</v>
      </c>
    </row>
    <row r="110" spans="4:18" x14ac:dyDescent="0.25">
      <c r="D110">
        <v>3</v>
      </c>
      <c r="E110" t="s">
        <v>1673</v>
      </c>
      <c r="F110" s="146">
        <v>42086</v>
      </c>
      <c r="G110">
        <v>6</v>
      </c>
      <c r="H110">
        <v>127</v>
      </c>
      <c r="I110">
        <f>H110*G110</f>
        <v>762</v>
      </c>
      <c r="K110">
        <v>3</v>
      </c>
      <c r="L110" s="128">
        <v>7</v>
      </c>
      <c r="M110" s="128">
        <f t="shared" si="14"/>
        <v>21</v>
      </c>
      <c r="N110" s="118">
        <f>M110/$M$112</f>
        <v>0.17355371900826447</v>
      </c>
      <c r="O110" s="129">
        <f>N110*$K$107</f>
        <v>8.677685950413224</v>
      </c>
      <c r="P110" s="129">
        <f>M110+O110</f>
        <v>29.677685950413224</v>
      </c>
      <c r="R110" s="129">
        <f>P110/K110</f>
        <v>9.8925619834710741</v>
      </c>
    </row>
    <row r="111" spans="4:18" x14ac:dyDescent="0.25">
      <c r="H111" s="1">
        <f>SUM(H108:H110)</f>
        <v>330</v>
      </c>
      <c r="I111" s="1">
        <f>SUM(I108:I110)</f>
        <v>1828.5</v>
      </c>
      <c r="K111">
        <v>10</v>
      </c>
      <c r="L111" s="128">
        <v>6</v>
      </c>
      <c r="M111" s="128">
        <f t="shared" si="14"/>
        <v>60</v>
      </c>
      <c r="N111" s="118">
        <f>M111/$M$112</f>
        <v>0.49586776859504134</v>
      </c>
      <c r="O111" s="129">
        <f>N111*$K$107</f>
        <v>24.793388429752067</v>
      </c>
      <c r="P111" s="129">
        <f>M111+O111</f>
        <v>84.793388429752071</v>
      </c>
      <c r="R111" s="129">
        <f>P111/K111</f>
        <v>8.4793388429752063</v>
      </c>
    </row>
    <row r="112" spans="4:18" x14ac:dyDescent="0.25">
      <c r="M112" s="128">
        <f>SUM(M108:M111)</f>
        <v>121</v>
      </c>
    </row>
    <row r="113" spans="9:9" x14ac:dyDescent="0.25">
      <c r="I113">
        <f>I111/H111</f>
        <v>5.540909090909091</v>
      </c>
    </row>
  </sheetData>
  <sortState ref="A2:H54">
    <sortCondition ref="A2:A54"/>
  </sortState>
  <dataValidations count="1">
    <dataValidation type="list" allowBlank="1" showInputMessage="1" showErrorMessage="1" sqref="E7:E100">
      <formula1>Entidades</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5"/>
  <sheetViews>
    <sheetView zoomScale="70" zoomScaleNormal="70" workbookViewId="0">
      <selection activeCell="E4" sqref="E4"/>
    </sheetView>
  </sheetViews>
  <sheetFormatPr defaultRowHeight="15" x14ac:dyDescent="0.25"/>
  <cols>
    <col min="1" max="1" width="4.5703125" bestFit="1" customWidth="1"/>
    <col min="2" max="2" width="38.7109375" bestFit="1" customWidth="1"/>
    <col min="3" max="3" width="41" bestFit="1" customWidth="1"/>
    <col min="4" max="4" width="31" customWidth="1"/>
    <col min="5" max="6" width="39.7109375" customWidth="1"/>
    <col min="7" max="7" width="41.7109375" bestFit="1" customWidth="1"/>
  </cols>
  <sheetData>
    <row r="1" spans="1:7" x14ac:dyDescent="0.25">
      <c r="A1" s="24" t="s">
        <v>1199</v>
      </c>
      <c r="B1" s="24" t="s">
        <v>1168</v>
      </c>
      <c r="C1" s="24" t="s">
        <v>1182</v>
      </c>
      <c r="D1" s="24" t="s">
        <v>1146</v>
      </c>
      <c r="E1" s="24" t="s">
        <v>1142</v>
      </c>
      <c r="F1" s="24" t="s">
        <v>1143</v>
      </c>
      <c r="G1" s="113" t="s">
        <v>1200</v>
      </c>
    </row>
    <row r="2" spans="1:7" ht="45" x14ac:dyDescent="0.25">
      <c r="A2" s="125">
        <v>1</v>
      </c>
      <c r="B2" s="125" t="str">
        <f>RN_AN!$G$2</f>
        <v>Tomas de órdenes y Comandas</v>
      </c>
      <c r="C2" s="126" t="s">
        <v>1183</v>
      </c>
      <c r="D2" s="125"/>
      <c r="E2" s="126" t="s">
        <v>1188</v>
      </c>
      <c r="F2" s="126" t="s">
        <v>1189</v>
      </c>
      <c r="G2" s="126"/>
    </row>
    <row r="3" spans="1:7" ht="75" x14ac:dyDescent="0.25">
      <c r="A3" s="116">
        <v>2</v>
      </c>
      <c r="B3" s="116" t="str">
        <f>RN_AN!$G$12</f>
        <v>Cajas y Bancos</v>
      </c>
      <c r="C3" s="116" t="s">
        <v>1186</v>
      </c>
      <c r="D3" s="117" t="s">
        <v>1187</v>
      </c>
      <c r="E3" s="117" t="s">
        <v>1191</v>
      </c>
      <c r="F3" s="117" t="s">
        <v>1184</v>
      </c>
      <c r="G3" s="117" t="s">
        <v>1274</v>
      </c>
    </row>
    <row r="4" spans="1:7" ht="45" x14ac:dyDescent="0.25">
      <c r="A4" s="114">
        <v>3</v>
      </c>
      <c r="B4" s="114" t="str">
        <f>RN_AN!G9</f>
        <v>Clientes y Cuentas por Cobrar</v>
      </c>
      <c r="C4" s="114"/>
      <c r="D4" s="115" t="s">
        <v>1211</v>
      </c>
      <c r="E4" s="115" t="s">
        <v>1204</v>
      </c>
      <c r="F4" s="115"/>
      <c r="G4" s="115" t="s">
        <v>1269</v>
      </c>
    </row>
    <row r="5" spans="1:7" ht="45" x14ac:dyDescent="0.25">
      <c r="A5" s="114">
        <v>4</v>
      </c>
      <c r="B5" s="114" t="str">
        <f>RN_AN!G10</f>
        <v>Contabilidad</v>
      </c>
      <c r="C5" s="114"/>
      <c r="D5" s="115" t="s">
        <v>1217</v>
      </c>
      <c r="E5" s="115" t="s">
        <v>1205</v>
      </c>
      <c r="F5" s="115" t="s">
        <v>1209</v>
      </c>
      <c r="G5" s="115" t="s">
        <v>1207</v>
      </c>
    </row>
    <row r="6" spans="1:7" ht="45" x14ac:dyDescent="0.25">
      <c r="A6" s="114">
        <v>5</v>
      </c>
      <c r="B6" s="115" t="str">
        <f>RN_AN!G11</f>
        <v>Administración de Catálogos y Registros Maestros</v>
      </c>
      <c r="C6" s="114"/>
      <c r="D6" s="115" t="s">
        <v>1212</v>
      </c>
      <c r="E6" s="115" t="s">
        <v>1206</v>
      </c>
      <c r="F6" s="115" t="s">
        <v>1210</v>
      </c>
      <c r="G6" s="115" t="s">
        <v>1208</v>
      </c>
    </row>
    <row r="7" spans="1:7" ht="60" x14ac:dyDescent="0.25">
      <c r="A7" s="114">
        <v>6</v>
      </c>
      <c r="B7" s="114" t="str">
        <f>RN_AN!G12</f>
        <v>Cajas y Bancos</v>
      </c>
      <c r="C7" s="114"/>
      <c r="D7" s="115" t="s">
        <v>1218</v>
      </c>
      <c r="E7" s="115" t="s">
        <v>1214</v>
      </c>
      <c r="F7" s="115"/>
      <c r="G7" s="115" t="s">
        <v>1215</v>
      </c>
    </row>
    <row r="8" spans="1:7" ht="45" x14ac:dyDescent="0.25">
      <c r="A8" s="114">
        <v>7</v>
      </c>
      <c r="B8" s="115" t="str">
        <f>RN_AN!G13</f>
        <v>Administración de Usuarios, Permisos y Niveles Organizacionales</v>
      </c>
      <c r="C8" s="114"/>
      <c r="D8" s="115" t="s">
        <v>1244</v>
      </c>
      <c r="E8" s="115" t="s">
        <v>1205</v>
      </c>
      <c r="F8" s="115" t="s">
        <v>1209</v>
      </c>
      <c r="G8" s="115" t="s">
        <v>1216</v>
      </c>
    </row>
    <row r="9" spans="1:7" ht="60" x14ac:dyDescent="0.25">
      <c r="A9" s="116">
        <v>8</v>
      </c>
      <c r="B9" s="116" t="str">
        <f>RN_AN!$G$12</f>
        <v>Cajas y Bancos</v>
      </c>
      <c r="C9" s="116"/>
      <c r="D9" s="117" t="s">
        <v>1273</v>
      </c>
      <c r="E9" s="117" t="s">
        <v>1172</v>
      </c>
      <c r="F9" s="117" t="s">
        <v>1173</v>
      </c>
      <c r="G9" s="117" t="s">
        <v>1213</v>
      </c>
    </row>
    <row r="10" spans="1:7" ht="64.5" customHeight="1" x14ac:dyDescent="0.25">
      <c r="A10" s="116">
        <v>9</v>
      </c>
      <c r="B10" s="116" t="str">
        <f>RN_AN!$G$12</f>
        <v>Cajas y Bancos</v>
      </c>
      <c r="C10" s="116"/>
      <c r="D10" s="117" t="s">
        <v>1169</v>
      </c>
      <c r="E10" s="117" t="s">
        <v>1245</v>
      </c>
      <c r="F10" s="117" t="s">
        <v>1246</v>
      </c>
      <c r="G10" s="117" t="s">
        <v>1247</v>
      </c>
    </row>
    <row r="11" spans="1:7" ht="64.5" customHeight="1" x14ac:dyDescent="0.25">
      <c r="A11" s="116">
        <v>10</v>
      </c>
      <c r="B11" s="116" t="str">
        <f>RN_AN!$G$12</f>
        <v>Cajas y Bancos</v>
      </c>
      <c r="C11" s="116"/>
      <c r="D11" s="117" t="s">
        <v>1283</v>
      </c>
      <c r="E11" s="117" t="s">
        <v>1201</v>
      </c>
      <c r="F11" s="117" t="s">
        <v>1281</v>
      </c>
      <c r="G11" s="117" t="s">
        <v>1279</v>
      </c>
    </row>
    <row r="12" spans="1:7" ht="64.5" customHeight="1" x14ac:dyDescent="0.25">
      <c r="A12" s="116">
        <v>11</v>
      </c>
      <c r="B12" s="116" t="str">
        <f>RN_AN!$G$12</f>
        <v>Cajas y Bancos</v>
      </c>
      <c r="C12" s="116"/>
      <c r="D12" s="117" t="s">
        <v>1284</v>
      </c>
      <c r="E12" s="117" t="s">
        <v>1202</v>
      </c>
      <c r="F12" s="117" t="s">
        <v>1282</v>
      </c>
      <c r="G12" s="117" t="s">
        <v>1280</v>
      </c>
    </row>
    <row r="13" spans="1:7" ht="30" x14ac:dyDescent="0.25">
      <c r="A13" s="116">
        <v>12</v>
      </c>
      <c r="B13" s="116" t="str">
        <f>RN_AN!$G$12</f>
        <v>Cajas y Bancos</v>
      </c>
      <c r="C13" s="116"/>
      <c r="D13" s="117" t="s">
        <v>1270</v>
      </c>
      <c r="E13" s="117"/>
      <c r="F13" s="117" t="s">
        <v>1192</v>
      </c>
      <c r="G13" s="117" t="s">
        <v>1271</v>
      </c>
    </row>
    <row r="14" spans="1:7" ht="75" x14ac:dyDescent="0.25">
      <c r="A14" s="116">
        <v>13</v>
      </c>
      <c r="B14" s="116" t="str">
        <f>RN_AN!$G$12</f>
        <v>Cajas y Bancos</v>
      </c>
      <c r="C14" s="116"/>
      <c r="D14" s="116" t="s">
        <v>1170</v>
      </c>
      <c r="E14" s="117" t="s">
        <v>1248</v>
      </c>
      <c r="F14" s="117" t="s">
        <v>1190</v>
      </c>
      <c r="G14" s="117" t="s">
        <v>1249</v>
      </c>
    </row>
    <row r="15" spans="1:7" ht="60" customHeight="1" x14ac:dyDescent="0.25">
      <c r="A15" s="116">
        <v>14</v>
      </c>
      <c r="B15" s="116" t="str">
        <f>RN_AN!$G$12</f>
        <v>Cajas y Bancos</v>
      </c>
      <c r="C15" s="116"/>
      <c r="D15" s="117" t="s">
        <v>1174</v>
      </c>
      <c r="E15" s="117" t="s">
        <v>1176</v>
      </c>
      <c r="F15" s="117" t="s">
        <v>1175</v>
      </c>
      <c r="G15" s="117" t="s">
        <v>1250</v>
      </c>
    </row>
    <row r="16" spans="1:7" ht="60" customHeight="1" x14ac:dyDescent="0.25">
      <c r="A16" s="116">
        <v>15</v>
      </c>
      <c r="B16" s="116" t="str">
        <f>RN_AN!$G$12</f>
        <v>Cajas y Bancos</v>
      </c>
      <c r="C16" s="116" t="s">
        <v>1177</v>
      </c>
      <c r="D16" s="117" t="s">
        <v>1153</v>
      </c>
      <c r="E16" s="117" t="s">
        <v>1171</v>
      </c>
      <c r="F16" s="117" t="s">
        <v>1278</v>
      </c>
      <c r="G16" s="117"/>
    </row>
    <row r="17" spans="1:7" ht="45" x14ac:dyDescent="0.25">
      <c r="A17" s="116">
        <v>16</v>
      </c>
      <c r="B17" s="116" t="str">
        <f>RN_AN!$G$12</f>
        <v>Cajas y Bancos</v>
      </c>
      <c r="C17" s="116"/>
      <c r="D17" s="117" t="s">
        <v>1154</v>
      </c>
      <c r="E17" s="117" t="s">
        <v>1181</v>
      </c>
      <c r="F17" s="117" t="s">
        <v>1180</v>
      </c>
      <c r="G17" s="117"/>
    </row>
    <row r="18" spans="1:7" ht="60" x14ac:dyDescent="0.25">
      <c r="A18" s="123">
        <v>17</v>
      </c>
      <c r="B18" s="123" t="str">
        <f>RN_AN!$G$4</f>
        <v>Recepción de Mercancías al Almacén</v>
      </c>
      <c r="C18" s="124" t="s">
        <v>1144</v>
      </c>
      <c r="D18" s="123"/>
      <c r="E18" s="124" t="s">
        <v>1158</v>
      </c>
      <c r="F18" s="124" t="s">
        <v>1159</v>
      </c>
      <c r="G18" s="124"/>
    </row>
    <row r="19" spans="1:7" ht="60" x14ac:dyDescent="0.25">
      <c r="A19" s="121">
        <v>18</v>
      </c>
      <c r="B19" s="121" t="s">
        <v>811</v>
      </c>
      <c r="C19" s="122" t="s">
        <v>1251</v>
      </c>
      <c r="D19" s="122" t="s">
        <v>1259</v>
      </c>
      <c r="E19" s="122" t="s">
        <v>1254</v>
      </c>
      <c r="F19" s="122" t="s">
        <v>1252</v>
      </c>
      <c r="G19" s="122"/>
    </row>
    <row r="20" spans="1:7" ht="60" x14ac:dyDescent="0.25">
      <c r="A20" s="121">
        <v>19</v>
      </c>
      <c r="B20" s="121" t="s">
        <v>811</v>
      </c>
      <c r="C20" s="121"/>
      <c r="D20" s="122" t="s">
        <v>1260</v>
      </c>
      <c r="E20" s="122" t="s">
        <v>1255</v>
      </c>
      <c r="F20" s="122" t="s">
        <v>1253</v>
      </c>
      <c r="G20" s="122"/>
    </row>
    <row r="21" spans="1:7" ht="60" x14ac:dyDescent="0.25">
      <c r="A21" s="121">
        <v>20</v>
      </c>
      <c r="B21" s="121" t="s">
        <v>811</v>
      </c>
      <c r="C21" s="121"/>
      <c r="D21" s="122" t="s">
        <v>1261</v>
      </c>
      <c r="E21" s="122"/>
      <c r="F21" s="122" t="s">
        <v>1268</v>
      </c>
      <c r="G21" s="122"/>
    </row>
    <row r="22" spans="1:7" ht="60" x14ac:dyDescent="0.25">
      <c r="A22" s="121">
        <v>21</v>
      </c>
      <c r="B22" s="121" t="s">
        <v>811</v>
      </c>
      <c r="C22" s="121" t="s">
        <v>1256</v>
      </c>
      <c r="D22" s="122" t="s">
        <v>1263</v>
      </c>
      <c r="E22" s="122" t="s">
        <v>1264</v>
      </c>
      <c r="F22" s="122" t="s">
        <v>1267</v>
      </c>
      <c r="G22" s="122"/>
    </row>
    <row r="23" spans="1:7" ht="45" x14ac:dyDescent="0.25">
      <c r="A23" s="121">
        <v>22</v>
      </c>
      <c r="B23" s="121" t="s">
        <v>811</v>
      </c>
      <c r="C23" s="121"/>
      <c r="D23" s="122" t="s">
        <v>1257</v>
      </c>
      <c r="E23" s="122" t="s">
        <v>1265</v>
      </c>
      <c r="F23" s="122" t="s">
        <v>1254</v>
      </c>
      <c r="G23" s="122"/>
    </row>
    <row r="24" spans="1:7" ht="45" x14ac:dyDescent="0.25">
      <c r="A24" s="121">
        <v>23</v>
      </c>
      <c r="B24" s="121" t="s">
        <v>811</v>
      </c>
      <c r="C24" s="121"/>
      <c r="D24" s="122" t="s">
        <v>1258</v>
      </c>
      <c r="E24" s="122" t="s">
        <v>1266</v>
      </c>
      <c r="F24" s="122" t="s">
        <v>1255</v>
      </c>
      <c r="G24" s="122"/>
    </row>
    <row r="25" spans="1:7" ht="30" x14ac:dyDescent="0.25">
      <c r="A25" s="121">
        <v>24</v>
      </c>
      <c r="B25" s="121" t="s">
        <v>811</v>
      </c>
      <c r="C25" s="121"/>
      <c r="D25" s="122"/>
      <c r="E25" s="122" t="s">
        <v>1262</v>
      </c>
      <c r="F25" s="122"/>
      <c r="G25" s="122" t="s">
        <v>1272</v>
      </c>
    </row>
    <row r="26" spans="1:7" ht="45" x14ac:dyDescent="0.25">
      <c r="A26" s="24">
        <v>99</v>
      </c>
      <c r="B26" s="24" t="str">
        <f>RN_AN!$G$9</f>
        <v>Clientes y Cuentas por Cobrar</v>
      </c>
      <c r="C26" s="24" t="s">
        <v>1195</v>
      </c>
      <c r="D26" s="24" t="s">
        <v>1196</v>
      </c>
      <c r="E26" s="25" t="s">
        <v>1190</v>
      </c>
      <c r="F26" s="25" t="s">
        <v>1190</v>
      </c>
      <c r="G26" s="25"/>
    </row>
    <row r="27" spans="1:7" ht="60" x14ac:dyDescent="0.25">
      <c r="A27" s="121">
        <v>25</v>
      </c>
      <c r="B27" s="121" t="str">
        <f>RN_AN!$G$6</f>
        <v>Cuentas por Pagar</v>
      </c>
      <c r="C27" s="121" t="s">
        <v>807</v>
      </c>
      <c r="D27" s="122" t="s">
        <v>1198</v>
      </c>
      <c r="E27" s="122" t="s">
        <v>1277</v>
      </c>
      <c r="F27" s="122"/>
      <c r="G27" s="122"/>
    </row>
    <row r="28" spans="1:7" ht="60" x14ac:dyDescent="0.25">
      <c r="A28" s="121">
        <v>26</v>
      </c>
      <c r="B28" s="121" t="str">
        <f>RN_AN!$G$6</f>
        <v>Cuentas por Pagar</v>
      </c>
      <c r="C28" s="121" t="s">
        <v>1275</v>
      </c>
      <c r="D28" s="122" t="s">
        <v>1276</v>
      </c>
      <c r="E28" s="122"/>
      <c r="F28" s="122" t="s">
        <v>1277</v>
      </c>
      <c r="G28" s="122"/>
    </row>
    <row r="29" spans="1:7" ht="45" x14ac:dyDescent="0.25">
      <c r="A29" s="24">
        <v>99</v>
      </c>
      <c r="B29" s="24" t="str">
        <f>RN_AN!$G$5</f>
        <v>Inventarios</v>
      </c>
      <c r="C29" s="24" t="s">
        <v>1152</v>
      </c>
      <c r="D29" s="24" t="s">
        <v>1153</v>
      </c>
      <c r="E29" s="25" t="s">
        <v>1164</v>
      </c>
      <c r="F29" s="25" t="s">
        <v>1191</v>
      </c>
      <c r="G29" s="25"/>
    </row>
    <row r="30" spans="1:7" ht="45" x14ac:dyDescent="0.25">
      <c r="A30" s="24">
        <v>99</v>
      </c>
      <c r="B30" s="24" t="str">
        <f>RN_AN!$G$5</f>
        <v>Inventarios</v>
      </c>
      <c r="C30" s="24"/>
      <c r="D30" s="24" t="s">
        <v>1154</v>
      </c>
      <c r="E30" s="25" t="s">
        <v>1179</v>
      </c>
      <c r="F30" s="25" t="s">
        <v>1166</v>
      </c>
      <c r="G30" s="25"/>
    </row>
    <row r="31" spans="1:7" ht="60" x14ac:dyDescent="0.25">
      <c r="A31" s="24">
        <v>99</v>
      </c>
      <c r="B31" s="24" t="str">
        <f>RN_AN!$G$7</f>
        <v>Movimientos del almacén</v>
      </c>
      <c r="C31" s="25" t="s">
        <v>1145</v>
      </c>
      <c r="D31" s="25" t="s">
        <v>1147</v>
      </c>
      <c r="E31" s="25" t="s">
        <v>1165</v>
      </c>
      <c r="F31" s="25" t="s">
        <v>1160</v>
      </c>
      <c r="G31" s="25"/>
    </row>
    <row r="32" spans="1:7" ht="45" x14ac:dyDescent="0.25">
      <c r="A32" s="24">
        <v>99</v>
      </c>
      <c r="B32" s="24" t="str">
        <f>RN_AN!$G$7</f>
        <v>Movimientos del almacén</v>
      </c>
      <c r="C32" s="24" t="s">
        <v>1156</v>
      </c>
      <c r="D32" s="24" t="s">
        <v>1167</v>
      </c>
      <c r="E32" s="25" t="s">
        <v>1188</v>
      </c>
      <c r="F32" s="25" t="s">
        <v>1189</v>
      </c>
      <c r="G32" s="25"/>
    </row>
    <row r="33" spans="1:7" ht="45" x14ac:dyDescent="0.25">
      <c r="A33" s="24">
        <v>99</v>
      </c>
      <c r="B33" s="24" t="str">
        <f>RN_AN!$G$7</f>
        <v>Movimientos del almacén</v>
      </c>
      <c r="C33" s="25" t="s">
        <v>1148</v>
      </c>
      <c r="D33" s="24" t="s">
        <v>1149</v>
      </c>
      <c r="E33" s="25" t="s">
        <v>1155</v>
      </c>
      <c r="F33" s="25" t="s">
        <v>1161</v>
      </c>
      <c r="G33" s="25"/>
    </row>
    <row r="34" spans="1:7" ht="60" x14ac:dyDescent="0.25">
      <c r="A34" s="24">
        <v>99</v>
      </c>
      <c r="B34" s="24" t="str">
        <f>RN_AN!$G$7</f>
        <v>Movimientos del almacén</v>
      </c>
      <c r="C34" s="24"/>
      <c r="D34" s="24" t="s">
        <v>1150</v>
      </c>
      <c r="E34" s="25" t="s">
        <v>1163</v>
      </c>
      <c r="F34" s="25" t="s">
        <v>1162</v>
      </c>
      <c r="G34" s="25"/>
    </row>
    <row r="35" spans="1:7" x14ac:dyDescent="0.25">
      <c r="A35" s="113"/>
    </row>
  </sheetData>
  <sortState ref="A2:G35">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1"/>
  <sheetViews>
    <sheetView topLeftCell="A2" zoomScale="70" zoomScaleNormal="70" workbookViewId="0">
      <pane xSplit="2" ySplit="1" topLeftCell="C26" activePane="bottomRight" state="frozen"/>
      <selection activeCell="A2" sqref="A2"/>
      <selection pane="topRight" activeCell="C2" sqref="C2"/>
      <selection pane="bottomLeft" activeCell="A3" sqref="A3"/>
      <selection pane="bottomRight" activeCell="A32" sqref="A32"/>
    </sheetView>
  </sheetViews>
  <sheetFormatPr defaultRowHeight="12.75" x14ac:dyDescent="0.2"/>
  <cols>
    <col min="1" max="1" width="15.28515625" style="5" bestFit="1" customWidth="1"/>
    <col min="2" max="2" width="32.7109375" style="5" customWidth="1"/>
    <col min="3" max="3" width="14.5703125" style="5" bestFit="1" customWidth="1"/>
    <col min="4" max="4" width="4.7109375" style="5" hidden="1" customWidth="1"/>
    <col min="5" max="5" width="21.7109375" style="5" customWidth="1"/>
    <col min="6" max="6" width="20.7109375" style="5" customWidth="1"/>
    <col min="7" max="7" width="36.140625" style="5" customWidth="1"/>
    <col min="8" max="8" width="34.140625" style="5" customWidth="1"/>
    <col min="9" max="9" width="13.85546875" style="5" customWidth="1"/>
    <col min="10" max="10" width="51.5703125" style="5" customWidth="1"/>
    <col min="11" max="11" width="21.7109375" style="5" bestFit="1" customWidth="1"/>
    <col min="12" max="16384" width="9.140625" style="5"/>
  </cols>
  <sheetData>
    <row r="1" spans="1:11" x14ac:dyDescent="0.2">
      <c r="A1" s="139" t="s">
        <v>1435</v>
      </c>
      <c r="B1" s="130"/>
      <c r="C1" s="130"/>
      <c r="D1" s="130"/>
      <c r="E1" s="130"/>
      <c r="F1" s="130"/>
      <c r="G1" s="130"/>
      <c r="H1" s="130"/>
      <c r="I1" s="130"/>
      <c r="J1" s="130"/>
    </row>
    <row r="2" spans="1:11" x14ac:dyDescent="0.2">
      <c r="A2" s="140" t="s">
        <v>1422</v>
      </c>
      <c r="B2" s="140" t="s">
        <v>16</v>
      </c>
      <c r="C2" s="140" t="s">
        <v>480</v>
      </c>
      <c r="D2" s="140" t="s">
        <v>674</v>
      </c>
      <c r="E2" s="140" t="s">
        <v>1483</v>
      </c>
      <c r="F2" s="140" t="s">
        <v>1484</v>
      </c>
      <c r="G2" s="140" t="s">
        <v>1487</v>
      </c>
      <c r="H2" s="140" t="s">
        <v>1488</v>
      </c>
      <c r="I2" s="140" t="s">
        <v>1423</v>
      </c>
      <c r="J2" s="140" t="s">
        <v>92</v>
      </c>
      <c r="K2" s="140" t="s">
        <v>1697</v>
      </c>
    </row>
    <row r="3" spans="1:11" ht="127.5" x14ac:dyDescent="0.2">
      <c r="A3" s="11" t="s">
        <v>1424</v>
      </c>
      <c r="B3" s="9" t="s">
        <v>1425</v>
      </c>
      <c r="C3" s="11" t="s">
        <v>733</v>
      </c>
      <c r="D3" s="11">
        <v>1</v>
      </c>
      <c r="E3" s="9" t="s">
        <v>1459</v>
      </c>
      <c r="F3" s="9" t="s">
        <v>1456</v>
      </c>
      <c r="G3" s="141" t="s">
        <v>1485</v>
      </c>
      <c r="H3" s="9" t="s">
        <v>1486</v>
      </c>
      <c r="I3" s="11"/>
      <c r="J3" s="11"/>
      <c r="K3" s="148" t="s">
        <v>1526</v>
      </c>
    </row>
    <row r="4" spans="1:11" ht="76.5" x14ac:dyDescent="0.2">
      <c r="A4" s="9" t="s">
        <v>1426</v>
      </c>
      <c r="B4" s="9" t="s">
        <v>1427</v>
      </c>
      <c r="C4" s="9" t="s">
        <v>1468</v>
      </c>
      <c r="D4" s="11">
        <v>1</v>
      </c>
      <c r="E4" s="11" t="s">
        <v>1428</v>
      </c>
      <c r="F4" s="11" t="s">
        <v>1429</v>
      </c>
      <c r="G4" s="141" t="s">
        <v>1489</v>
      </c>
      <c r="H4" s="9" t="s">
        <v>1490</v>
      </c>
      <c r="I4" s="11"/>
      <c r="J4" s="9" t="s">
        <v>1460</v>
      </c>
      <c r="K4" s="9" t="s">
        <v>1603</v>
      </c>
    </row>
    <row r="5" spans="1:11" ht="38.25" x14ac:dyDescent="0.2">
      <c r="A5" s="9" t="s">
        <v>1442</v>
      </c>
      <c r="B5" s="9" t="s">
        <v>1443</v>
      </c>
      <c r="C5" s="11" t="s">
        <v>733</v>
      </c>
      <c r="D5" s="11">
        <v>1</v>
      </c>
      <c r="E5" s="9" t="s">
        <v>1457</v>
      </c>
      <c r="F5" s="9" t="s">
        <v>1461</v>
      </c>
      <c r="G5" s="9" t="s">
        <v>1491</v>
      </c>
      <c r="H5" s="9" t="s">
        <v>1492</v>
      </c>
      <c r="I5" s="11"/>
      <c r="J5" s="9" t="s">
        <v>1462</v>
      </c>
      <c r="K5" s="9" t="s">
        <v>1602</v>
      </c>
    </row>
    <row r="6" spans="1:11" ht="102" x14ac:dyDescent="0.2">
      <c r="A6" s="11" t="s">
        <v>1432</v>
      </c>
      <c r="B6" s="9" t="s">
        <v>1430</v>
      </c>
      <c r="C6" s="11" t="s">
        <v>733</v>
      </c>
      <c r="D6" s="11">
        <v>1</v>
      </c>
      <c r="E6" s="9" t="s">
        <v>1431</v>
      </c>
      <c r="F6" s="11" t="s">
        <v>1432</v>
      </c>
      <c r="G6" s="9" t="s">
        <v>1493</v>
      </c>
      <c r="H6" s="9"/>
      <c r="I6" s="11"/>
      <c r="J6" s="9" t="s">
        <v>1494</v>
      </c>
      <c r="K6" s="9" t="s">
        <v>1597</v>
      </c>
    </row>
    <row r="7" spans="1:11" ht="76.5" x14ac:dyDescent="0.2">
      <c r="A7" s="9" t="s">
        <v>1647</v>
      </c>
      <c r="B7" s="9" t="s">
        <v>1436</v>
      </c>
      <c r="C7" s="11" t="s">
        <v>733</v>
      </c>
      <c r="D7" s="11">
        <v>1</v>
      </c>
      <c r="E7" s="9" t="s">
        <v>1496</v>
      </c>
      <c r="F7" s="11" t="s">
        <v>1437</v>
      </c>
      <c r="G7" s="141" t="s">
        <v>1497</v>
      </c>
      <c r="H7" s="9" t="s">
        <v>1498</v>
      </c>
      <c r="I7" s="11"/>
      <c r="J7" s="9"/>
      <c r="K7" s="9" t="s">
        <v>1563</v>
      </c>
    </row>
    <row r="8" spans="1:11" ht="63.75" x14ac:dyDescent="0.2">
      <c r="A8" s="9" t="s">
        <v>1646</v>
      </c>
      <c r="B8" s="9" t="s">
        <v>1499</v>
      </c>
      <c r="C8" s="11"/>
      <c r="D8" s="11"/>
      <c r="E8" s="9" t="s">
        <v>1437</v>
      </c>
      <c r="F8" s="11" t="s">
        <v>1500</v>
      </c>
      <c r="G8" s="141" t="s">
        <v>1501</v>
      </c>
      <c r="H8" s="9"/>
      <c r="I8" s="11"/>
      <c r="J8" s="9"/>
      <c r="K8" s="9" t="s">
        <v>1572</v>
      </c>
    </row>
    <row r="9" spans="1:11" ht="89.25" x14ac:dyDescent="0.2">
      <c r="A9" s="9" t="s">
        <v>1645</v>
      </c>
      <c r="B9" s="9" t="s">
        <v>1438</v>
      </c>
      <c r="C9" s="11" t="s">
        <v>977</v>
      </c>
      <c r="D9" s="11">
        <v>1</v>
      </c>
      <c r="E9" s="11" t="s">
        <v>1500</v>
      </c>
      <c r="F9" s="9" t="s">
        <v>1439</v>
      </c>
      <c r="G9" s="141" t="s">
        <v>1495</v>
      </c>
      <c r="H9" s="11"/>
      <c r="I9" s="9" t="s">
        <v>1440</v>
      </c>
      <c r="J9" s="11"/>
      <c r="K9" s="9" t="s">
        <v>1601</v>
      </c>
    </row>
    <row r="10" spans="1:11" ht="51" x14ac:dyDescent="0.2">
      <c r="A10" s="9" t="s">
        <v>1446</v>
      </c>
      <c r="B10" s="9" t="s">
        <v>1447</v>
      </c>
      <c r="C10" s="11" t="s">
        <v>986</v>
      </c>
      <c r="D10" s="11">
        <v>1</v>
      </c>
      <c r="E10" s="11" t="s">
        <v>1458</v>
      </c>
      <c r="F10" s="9" t="s">
        <v>1450</v>
      </c>
      <c r="G10" s="141" t="s">
        <v>1451</v>
      </c>
      <c r="H10" s="9" t="s">
        <v>1463</v>
      </c>
      <c r="I10" s="11"/>
      <c r="J10" s="11"/>
      <c r="K10" s="9"/>
    </row>
    <row r="11" spans="1:11" ht="51" x14ac:dyDescent="0.2">
      <c r="A11" s="9" t="s">
        <v>1638</v>
      </c>
      <c r="B11" s="9" t="s">
        <v>1448</v>
      </c>
      <c r="C11" s="9" t="s">
        <v>1469</v>
      </c>
      <c r="D11" s="11">
        <v>1</v>
      </c>
      <c r="E11" s="11"/>
      <c r="F11" s="11" t="s">
        <v>1452</v>
      </c>
      <c r="G11" s="9" t="s">
        <v>1453</v>
      </c>
      <c r="H11" s="11"/>
      <c r="I11" s="11"/>
      <c r="J11" s="11"/>
      <c r="K11" s="9"/>
    </row>
    <row r="12" spans="1:11" ht="76.5" x14ac:dyDescent="0.2">
      <c r="A12" s="9" t="s">
        <v>1637</v>
      </c>
      <c r="B12" s="9"/>
      <c r="C12" s="9" t="s">
        <v>1469</v>
      </c>
      <c r="D12" s="11">
        <v>2</v>
      </c>
      <c r="E12" s="11" t="s">
        <v>1452</v>
      </c>
      <c r="F12" s="9" t="s">
        <v>1454</v>
      </c>
      <c r="G12" s="9" t="s">
        <v>1455</v>
      </c>
      <c r="H12" s="9" t="s">
        <v>1464</v>
      </c>
      <c r="I12" s="11"/>
      <c r="J12" s="11"/>
      <c r="K12" s="9" t="s">
        <v>1609</v>
      </c>
    </row>
    <row r="13" spans="1:11" ht="63.75" x14ac:dyDescent="0.2">
      <c r="A13" s="9" t="s">
        <v>1521</v>
      </c>
      <c r="B13" s="9" t="s">
        <v>1522</v>
      </c>
      <c r="C13" s="9" t="s">
        <v>1469</v>
      </c>
      <c r="D13" s="11"/>
      <c r="E13" s="9" t="s">
        <v>455</v>
      </c>
      <c r="F13" s="9"/>
      <c r="G13" s="9" t="s">
        <v>1524</v>
      </c>
      <c r="H13" s="9" t="s">
        <v>1525</v>
      </c>
      <c r="I13" s="11"/>
      <c r="J13" s="9" t="s">
        <v>1523</v>
      </c>
      <c r="K13" s="9"/>
    </row>
    <row r="14" spans="1:11" ht="153" x14ac:dyDescent="0.2">
      <c r="A14" s="9" t="s">
        <v>1639</v>
      </c>
      <c r="B14" s="9" t="s">
        <v>1449</v>
      </c>
      <c r="C14" s="11" t="s">
        <v>986</v>
      </c>
      <c r="D14" s="11"/>
      <c r="E14" s="9" t="s">
        <v>1454</v>
      </c>
      <c r="F14" s="11" t="s">
        <v>1465</v>
      </c>
      <c r="G14" s="9" t="s">
        <v>1466</v>
      </c>
      <c r="H14" s="9" t="s">
        <v>1477</v>
      </c>
      <c r="I14" s="11"/>
      <c r="J14" s="9" t="s">
        <v>1470</v>
      </c>
      <c r="K14" s="9" t="s">
        <v>1616</v>
      </c>
    </row>
    <row r="15" spans="1:11" ht="140.25" x14ac:dyDescent="0.2">
      <c r="A15" s="9" t="s">
        <v>1640</v>
      </c>
      <c r="B15" s="11"/>
      <c r="C15" s="11"/>
      <c r="D15" s="11"/>
      <c r="E15" s="9"/>
      <c r="F15" s="9" t="s">
        <v>1475</v>
      </c>
      <c r="G15" s="9" t="s">
        <v>1476</v>
      </c>
      <c r="H15" s="9" t="s">
        <v>1675</v>
      </c>
      <c r="I15" s="11"/>
      <c r="J15" s="9" t="s">
        <v>1467</v>
      </c>
      <c r="K15" s="9" t="s">
        <v>1619</v>
      </c>
    </row>
    <row r="16" spans="1:11" ht="127.5" x14ac:dyDescent="0.2">
      <c r="A16" s="9" t="s">
        <v>1649</v>
      </c>
      <c r="B16" s="9" t="s">
        <v>1471</v>
      </c>
      <c r="C16" s="11" t="s">
        <v>460</v>
      </c>
      <c r="D16" s="11"/>
      <c r="E16" s="11" t="s">
        <v>1465</v>
      </c>
      <c r="F16" s="11" t="s">
        <v>1473</v>
      </c>
      <c r="G16" s="9" t="s">
        <v>1478</v>
      </c>
      <c r="H16" s="11"/>
      <c r="I16" s="11"/>
      <c r="J16" s="11"/>
      <c r="K16" s="9" t="s">
        <v>1622</v>
      </c>
    </row>
    <row r="17" spans="1:11" ht="89.25" x14ac:dyDescent="0.2">
      <c r="A17" s="9" t="s">
        <v>1641</v>
      </c>
      <c r="B17" s="11"/>
      <c r="C17" s="11"/>
      <c r="D17" s="11"/>
      <c r="E17" s="11" t="s">
        <v>1473</v>
      </c>
      <c r="F17" s="11" t="s">
        <v>1474</v>
      </c>
      <c r="G17" s="9" t="s">
        <v>1479</v>
      </c>
      <c r="H17" s="9" t="s">
        <v>1472</v>
      </c>
      <c r="I17" s="11"/>
      <c r="J17" s="9" t="s">
        <v>1650</v>
      </c>
      <c r="K17" s="9" t="s">
        <v>1624</v>
      </c>
    </row>
    <row r="18" spans="1:11" ht="127.5" x14ac:dyDescent="0.2">
      <c r="A18" s="9" t="s">
        <v>1642</v>
      </c>
      <c r="B18" s="9" t="s">
        <v>1480</v>
      </c>
      <c r="C18" s="11"/>
      <c r="D18" s="11"/>
      <c r="E18" s="11" t="s">
        <v>1474</v>
      </c>
      <c r="F18" s="11" t="s">
        <v>1481</v>
      </c>
      <c r="G18" s="9" t="s">
        <v>1482</v>
      </c>
      <c r="H18" s="11"/>
      <c r="I18" s="11"/>
      <c r="J18" s="11"/>
      <c r="K18" s="9" t="s">
        <v>1632</v>
      </c>
    </row>
    <row r="19" spans="1:11" ht="242.25" x14ac:dyDescent="0.2">
      <c r="A19" s="9" t="s">
        <v>1643</v>
      </c>
      <c r="B19" s="9" t="s">
        <v>1502</v>
      </c>
      <c r="C19" s="9" t="s">
        <v>1469</v>
      </c>
      <c r="D19" s="11"/>
      <c r="E19" s="9" t="s">
        <v>1503</v>
      </c>
      <c r="F19" s="9" t="s">
        <v>1505</v>
      </c>
      <c r="G19" s="9" t="s">
        <v>1506</v>
      </c>
      <c r="H19" s="9" t="s">
        <v>1507</v>
      </c>
      <c r="I19" s="11"/>
      <c r="J19" s="9" t="s">
        <v>1514</v>
      </c>
      <c r="K19" s="9"/>
    </row>
    <row r="20" spans="1:11" ht="89.25" x14ac:dyDescent="0.2">
      <c r="A20" s="9" t="s">
        <v>1644</v>
      </c>
      <c r="B20" s="9" t="s">
        <v>1515</v>
      </c>
      <c r="C20" s="9" t="s">
        <v>1469</v>
      </c>
      <c r="D20" s="11"/>
      <c r="E20" s="9" t="s">
        <v>1516</v>
      </c>
      <c r="F20" s="9" t="s">
        <v>1517</v>
      </c>
      <c r="G20" s="9" t="s">
        <v>1518</v>
      </c>
      <c r="H20" s="9" t="s">
        <v>1519</v>
      </c>
      <c r="I20" s="9"/>
      <c r="J20" s="9" t="s">
        <v>1520</v>
      </c>
      <c r="K20" s="9" t="s">
        <v>1609</v>
      </c>
    </row>
    <row r="21" spans="1:11" ht="191.25" x14ac:dyDescent="0.2">
      <c r="A21" s="11" t="s">
        <v>1655</v>
      </c>
      <c r="B21" s="9" t="s">
        <v>1651</v>
      </c>
      <c r="C21" s="11" t="s">
        <v>1652</v>
      </c>
      <c r="D21" s="11"/>
      <c r="E21" s="11" t="s">
        <v>1437</v>
      </c>
      <c r="F21" s="11" t="s">
        <v>1655</v>
      </c>
      <c r="G21" s="9" t="s">
        <v>1658</v>
      </c>
      <c r="H21" s="9" t="s">
        <v>1663</v>
      </c>
      <c r="I21" s="11"/>
      <c r="J21" s="9" t="s">
        <v>1654</v>
      </c>
      <c r="K21" s="9"/>
    </row>
    <row r="22" spans="1:11" ht="51" x14ac:dyDescent="0.2">
      <c r="A22" s="11" t="s">
        <v>1177</v>
      </c>
      <c r="B22" s="9" t="s">
        <v>1659</v>
      </c>
      <c r="C22" s="11" t="s">
        <v>1652</v>
      </c>
      <c r="D22" s="11"/>
      <c r="E22" s="11"/>
      <c r="F22" s="11" t="s">
        <v>1177</v>
      </c>
      <c r="G22" s="9"/>
      <c r="H22" s="9" t="s">
        <v>1662</v>
      </c>
      <c r="I22" s="11"/>
      <c r="J22" s="11"/>
      <c r="K22" s="9"/>
    </row>
    <row r="23" spans="1:11" ht="89.25" x14ac:dyDescent="0.2">
      <c r="A23" s="9" t="s">
        <v>1656</v>
      </c>
      <c r="B23" s="9" t="s">
        <v>1660</v>
      </c>
      <c r="C23" s="11" t="s">
        <v>1652</v>
      </c>
      <c r="D23" s="11"/>
      <c r="E23" s="11"/>
      <c r="F23" s="11" t="s">
        <v>1656</v>
      </c>
      <c r="G23" s="9"/>
      <c r="H23" s="9" t="s">
        <v>1664</v>
      </c>
      <c r="I23" s="11"/>
      <c r="J23" s="11"/>
      <c r="K23" s="9"/>
    </row>
    <row r="24" spans="1:11" ht="38.25" x14ac:dyDescent="0.2">
      <c r="A24" s="142" t="s">
        <v>1657</v>
      </c>
      <c r="B24" s="143" t="s">
        <v>1661</v>
      </c>
      <c r="C24" s="11" t="s">
        <v>1652</v>
      </c>
      <c r="D24" s="142"/>
      <c r="E24" s="142"/>
      <c r="F24" s="142" t="s">
        <v>1657</v>
      </c>
      <c r="G24" s="9"/>
      <c r="H24" s="143" t="s">
        <v>1690</v>
      </c>
      <c r="I24" s="142"/>
      <c r="J24" s="142"/>
      <c r="K24" s="9"/>
    </row>
    <row r="25" spans="1:11" ht="382.5" x14ac:dyDescent="0.2">
      <c r="A25" s="144" t="s">
        <v>1665</v>
      </c>
      <c r="B25" s="144" t="s">
        <v>1667</v>
      </c>
      <c r="C25" s="142" t="s">
        <v>986</v>
      </c>
      <c r="D25" s="145"/>
      <c r="E25" s="144"/>
      <c r="F25" s="144" t="s">
        <v>1666</v>
      </c>
      <c r="G25" s="9"/>
      <c r="H25" s="143" t="s">
        <v>1676</v>
      </c>
      <c r="I25" s="145"/>
      <c r="J25" s="144" t="s">
        <v>1668</v>
      </c>
      <c r="K25" s="9" t="s">
        <v>1619</v>
      </c>
    </row>
    <row r="26" spans="1:11" ht="63.75" x14ac:dyDescent="0.2">
      <c r="A26" s="143" t="s">
        <v>1677</v>
      </c>
      <c r="B26" s="143" t="s">
        <v>1678</v>
      </c>
      <c r="C26" s="142" t="s">
        <v>986</v>
      </c>
      <c r="D26" s="142"/>
      <c r="E26" s="142"/>
      <c r="F26" s="142"/>
      <c r="G26" s="143" t="s">
        <v>1679</v>
      </c>
      <c r="H26" s="143" t="s">
        <v>1680</v>
      </c>
      <c r="I26" s="142"/>
      <c r="J26" s="143" t="s">
        <v>1698</v>
      </c>
      <c r="K26" s="9" t="s">
        <v>1619</v>
      </c>
    </row>
    <row r="27" spans="1:11" ht="191.25" x14ac:dyDescent="0.2">
      <c r="A27" s="11" t="s">
        <v>1681</v>
      </c>
      <c r="B27" s="9" t="s">
        <v>1682</v>
      </c>
      <c r="C27" s="142" t="s">
        <v>986</v>
      </c>
      <c r="D27" s="11"/>
      <c r="E27" s="11"/>
      <c r="F27" s="11" t="s">
        <v>1683</v>
      </c>
      <c r="G27" s="9" t="s">
        <v>1658</v>
      </c>
      <c r="H27" s="9" t="s">
        <v>1688</v>
      </c>
      <c r="I27" s="11"/>
      <c r="J27" s="9" t="s">
        <v>1654</v>
      </c>
      <c r="K27" s="9"/>
    </row>
    <row r="28" spans="1:11" ht="25.5" x14ac:dyDescent="0.2">
      <c r="A28" s="9" t="s">
        <v>1684</v>
      </c>
      <c r="B28" s="9" t="s">
        <v>1686</v>
      </c>
      <c r="C28" s="142" t="s">
        <v>986</v>
      </c>
      <c r="D28" s="11"/>
      <c r="E28" s="11"/>
      <c r="F28" s="9" t="s">
        <v>1684</v>
      </c>
      <c r="G28" s="9"/>
      <c r="H28" s="9" t="s">
        <v>1687</v>
      </c>
      <c r="I28" s="11"/>
      <c r="J28" s="11"/>
      <c r="K28" s="9"/>
    </row>
    <row r="29" spans="1:11" ht="89.25" x14ac:dyDescent="0.2">
      <c r="A29" s="9" t="s">
        <v>1656</v>
      </c>
      <c r="B29" s="9" t="s">
        <v>1660</v>
      </c>
      <c r="C29" s="142" t="s">
        <v>986</v>
      </c>
      <c r="D29" s="11"/>
      <c r="E29" s="11"/>
      <c r="F29" s="11" t="s">
        <v>1656</v>
      </c>
      <c r="G29" s="9"/>
      <c r="H29" s="9" t="s">
        <v>1689</v>
      </c>
      <c r="I29" s="11"/>
      <c r="J29" s="11"/>
      <c r="K29" s="9"/>
    </row>
    <row r="30" spans="1:11" ht="25.5" x14ac:dyDescent="0.2">
      <c r="A30" s="143" t="s">
        <v>1685</v>
      </c>
      <c r="B30" s="143" t="s">
        <v>1691</v>
      </c>
      <c r="C30" s="142" t="s">
        <v>986</v>
      </c>
      <c r="D30" s="142"/>
      <c r="E30" s="142"/>
      <c r="F30" s="142" t="s">
        <v>1685</v>
      </c>
      <c r="G30" s="143"/>
      <c r="H30" s="143" t="s">
        <v>1691</v>
      </c>
      <c r="I30" s="142"/>
      <c r="J30" s="142"/>
      <c r="K30" s="9"/>
    </row>
    <row r="31" spans="1:11" ht="76.5" x14ac:dyDescent="0.2">
      <c r="A31" s="145" t="s">
        <v>1693</v>
      </c>
      <c r="B31" s="144" t="s">
        <v>1694</v>
      </c>
      <c r="C31" s="145" t="s">
        <v>1652</v>
      </c>
      <c r="D31" s="145"/>
      <c r="E31" s="145"/>
      <c r="F31" s="145" t="s">
        <v>1693</v>
      </c>
      <c r="G31" s="144" t="s">
        <v>1695</v>
      </c>
      <c r="H31" s="144" t="s">
        <v>1696</v>
      </c>
      <c r="I31" s="145"/>
      <c r="J31" s="145"/>
      <c r="K31" s="143"/>
    </row>
  </sheetData>
  <dataValidations count="1">
    <dataValidation type="list" allowBlank="1" showInputMessage="1" showErrorMessage="1" sqref="K3:K31">
      <formula1>Acciones</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28"/>
  <sheetViews>
    <sheetView zoomScale="60" zoomScaleNormal="60" workbookViewId="0">
      <selection activeCell="D26" sqref="D26"/>
    </sheetView>
  </sheetViews>
  <sheetFormatPr defaultRowHeight="15" x14ac:dyDescent="0.25"/>
  <cols>
    <col min="1" max="1" width="27.5703125" bestFit="1" customWidth="1"/>
    <col min="2" max="2" width="29.7109375" customWidth="1"/>
    <col min="3" max="3" width="10.28515625" customWidth="1"/>
    <col min="4" max="4" width="12.7109375" bestFit="1" customWidth="1"/>
    <col min="5" max="6" width="16.7109375" customWidth="1"/>
    <col min="7" max="7" width="17.42578125" customWidth="1"/>
    <col min="8" max="8" width="22.5703125" bestFit="1" customWidth="1"/>
    <col min="9" max="9" width="26.140625" customWidth="1"/>
    <col min="10" max="10" width="44.28515625" customWidth="1"/>
    <col min="11" max="11" width="50.140625" customWidth="1"/>
    <col min="12" max="12" width="30.85546875" customWidth="1"/>
    <col min="13" max="13" width="24" customWidth="1"/>
    <col min="14" max="14" width="28.140625" customWidth="1"/>
    <col min="15" max="15" width="17.140625" customWidth="1"/>
    <col min="16" max="16" width="20.7109375" customWidth="1"/>
  </cols>
  <sheetData>
    <row r="2" spans="1:13" x14ac:dyDescent="0.25">
      <c r="A2" s="133" t="s">
        <v>1579</v>
      </c>
      <c r="B2" s="134" t="s">
        <v>16</v>
      </c>
      <c r="C2" s="134" t="s">
        <v>1008</v>
      </c>
      <c r="D2" s="134" t="s">
        <v>1545</v>
      </c>
      <c r="E2" s="134" t="s">
        <v>1580</v>
      </c>
      <c r="F2" s="134" t="s">
        <v>1582</v>
      </c>
      <c r="G2" s="134" t="s">
        <v>1581</v>
      </c>
      <c r="H2" s="134" t="s">
        <v>1583</v>
      </c>
      <c r="I2" s="134" t="s">
        <v>1584</v>
      </c>
      <c r="J2" s="134" t="s">
        <v>1546</v>
      </c>
      <c r="K2" s="134" t="s">
        <v>3</v>
      </c>
      <c r="L2" s="134" t="s">
        <v>1536</v>
      </c>
      <c r="M2" s="134" t="s">
        <v>1541</v>
      </c>
    </row>
    <row r="3" spans="1:13" ht="210" x14ac:dyDescent="0.25">
      <c r="A3" s="164" t="s">
        <v>1567</v>
      </c>
      <c r="B3" s="25" t="s">
        <v>1534</v>
      </c>
      <c r="C3" s="24" t="s">
        <v>964</v>
      </c>
      <c r="D3" s="24">
        <v>0.1</v>
      </c>
      <c r="E3" s="135" t="s">
        <v>961</v>
      </c>
      <c r="F3" s="105" t="s">
        <v>961</v>
      </c>
      <c r="G3" s="25" t="s">
        <v>958</v>
      </c>
      <c r="H3" s="25" t="str">
        <f ca="1">IF(C3&lt;&gt;"S",INDIRECT("I"&amp;MATCH(F3,$A$1:$A$98,0)),"NA")</f>
        <v>NA</v>
      </c>
      <c r="I3" s="25" t="str">
        <f>VLOOKUP(Table2[[#This Row],[Clase de pertenencia]],Table1[[#All],[Entidad]:[Atributos de la Entidad]],7,FALSE)</f>
        <v>Fecha,  Hora,  ID_Sucursal, Clave de Folio, Numeración Folio, ID Usuario, Monto Total, Documento Origen</v>
      </c>
      <c r="J3" s="24" t="str">
        <f t="shared" ref="J3:J28" ca="1" si="0">IF(C3&lt;&gt;"S",INDIRECT("K"&amp;MATCH(F3,$A$1:$A$98,0)),"NA")</f>
        <v>NA</v>
      </c>
      <c r="K3" s="25" t="s">
        <v>1617</v>
      </c>
      <c r="L3" s="105" t="s">
        <v>961</v>
      </c>
      <c r="M3" s="25" t="str">
        <f t="shared" ref="M3:M27" ca="1" si="1">IF(L3&lt;&gt;"NA",INDIRECT("K"&amp;MATCH(L3,$A$1:$A$98,0)),"NA")</f>
        <v>NA</v>
      </c>
    </row>
    <row r="4" spans="1:13" ht="60" x14ac:dyDescent="0.25">
      <c r="A4" s="164" t="s">
        <v>1547</v>
      </c>
      <c r="B4" s="25" t="s">
        <v>1548</v>
      </c>
      <c r="C4" s="24" t="s">
        <v>964</v>
      </c>
      <c r="D4" s="24">
        <v>0.2</v>
      </c>
      <c r="E4" s="24" t="s">
        <v>961</v>
      </c>
      <c r="F4" s="25" t="s">
        <v>961</v>
      </c>
      <c r="G4" s="24" t="s">
        <v>958</v>
      </c>
      <c r="H4" s="25" t="str">
        <f ca="1">IF(C4&lt;&gt;"S",INDIRECT("I"&amp;MATCH(F4,$A$1:$A$98,0)),"NA")</f>
        <v>NA</v>
      </c>
      <c r="I4" s="25" t="str">
        <f>VLOOKUP(Table2[[#This Row],[Clase de pertenencia]],Table1[[#All],[Entidad]:[Atributos de la Entidad]],7,FALSE)</f>
        <v>Fecha,  Hora,  ID_Sucursal, Clave de Folio, Numeración Folio, ID Usuario, Monto Total, Documento Origen</v>
      </c>
      <c r="J4" s="24" t="str">
        <f t="shared" ca="1" si="0"/>
        <v>NA</v>
      </c>
      <c r="K4" s="25" t="s">
        <v>1560</v>
      </c>
      <c r="L4" s="135" t="s">
        <v>961</v>
      </c>
      <c r="M4" s="25" t="str">
        <f t="shared" ca="1" si="1"/>
        <v>NA</v>
      </c>
    </row>
    <row r="5" spans="1:13" ht="75" x14ac:dyDescent="0.25">
      <c r="A5" s="164" t="s">
        <v>1604</v>
      </c>
      <c r="B5" s="25" t="s">
        <v>1551</v>
      </c>
      <c r="C5" s="24" t="s">
        <v>964</v>
      </c>
      <c r="D5" s="24">
        <v>0.4</v>
      </c>
      <c r="E5" s="135" t="s">
        <v>961</v>
      </c>
      <c r="F5" s="25" t="s">
        <v>961</v>
      </c>
      <c r="G5" s="24" t="s">
        <v>1552</v>
      </c>
      <c r="H5" s="24"/>
      <c r="I5" s="25" t="str">
        <f>VLOOKUP(Table2[[#This Row],[Clase de pertenencia]],Table1[[#All],[Entidad]:[Atributos de la Entidad]],7,FALSE)</f>
        <v>Objeto Origen, Objeto Destino, Documento, CambioStaus?</v>
      </c>
      <c r="J5" s="24" t="str">
        <f t="shared" ca="1" si="0"/>
        <v>NA</v>
      </c>
      <c r="K5" s="25" t="s">
        <v>1556</v>
      </c>
      <c r="L5" s="135" t="s">
        <v>961</v>
      </c>
      <c r="M5" s="25" t="str">
        <f t="shared" ca="1" si="1"/>
        <v>NA</v>
      </c>
    </row>
    <row r="6" spans="1:13" ht="105" x14ac:dyDescent="0.25">
      <c r="A6" s="164" t="s">
        <v>1562</v>
      </c>
      <c r="B6" s="25" t="s">
        <v>1558</v>
      </c>
      <c r="C6" s="24" t="s">
        <v>964</v>
      </c>
      <c r="D6" s="135">
        <v>0.3</v>
      </c>
      <c r="E6" s="135" t="s">
        <v>961</v>
      </c>
      <c r="F6" s="25" t="s">
        <v>961</v>
      </c>
      <c r="G6" s="24" t="s">
        <v>958</v>
      </c>
      <c r="H6" s="25" t="str">
        <f t="shared" ref="H6:H27" ca="1" si="2">IF(C6&lt;&gt;"S",INDIRECT("I"&amp;MATCH(F6,$A$1:$A$98,0)),"NA")</f>
        <v>NA</v>
      </c>
      <c r="I6" s="25" t="str">
        <f>VLOOKUP(Table2[[#This Row],[Clase de pertenencia]],Table1[[#All],[Entidad]:[Atributos de la Entidad]],7,FALSE)</f>
        <v>Fecha,  Hora,  ID_Sucursal, Clave de Folio, Numeración Folio, ID Usuario, Monto Total, Documento Origen</v>
      </c>
      <c r="J6" s="24" t="str">
        <f t="shared" ca="1" si="0"/>
        <v>NA</v>
      </c>
      <c r="K6" s="25" t="s">
        <v>1561</v>
      </c>
      <c r="L6" s="105" t="s">
        <v>961</v>
      </c>
      <c r="M6" s="25" t="str">
        <f t="shared" ca="1" si="1"/>
        <v>NA</v>
      </c>
    </row>
    <row r="7" spans="1:13" ht="90" x14ac:dyDescent="0.25">
      <c r="A7" s="165" t="s">
        <v>1575</v>
      </c>
      <c r="B7" s="25" t="s">
        <v>1574</v>
      </c>
      <c r="C7" s="24" t="s">
        <v>964</v>
      </c>
      <c r="D7" s="24">
        <v>0.5</v>
      </c>
      <c r="E7" s="24" t="s">
        <v>961</v>
      </c>
      <c r="F7" s="105" t="s">
        <v>961</v>
      </c>
      <c r="G7" s="24" t="s">
        <v>1329</v>
      </c>
      <c r="H7" s="25" t="str">
        <f t="shared" ca="1" si="2"/>
        <v>NA</v>
      </c>
      <c r="I7" s="25" t="str">
        <f>VLOOKUP(Table2[[#This Row],[Clase de pertenencia]],Table1[[#All],[Entidad]:[Atributos de la Entidad]],7,FALSE)</f>
        <v>SubCuenta de Cargo, SubCuenta de Abono</v>
      </c>
      <c r="J7" s="24" t="str">
        <f t="shared" ca="1" si="0"/>
        <v>NA</v>
      </c>
      <c r="K7" s="25" t="s">
        <v>1576</v>
      </c>
      <c r="L7" s="138" t="s">
        <v>961</v>
      </c>
      <c r="M7" s="25" t="str">
        <f t="shared" ca="1" si="1"/>
        <v>NA</v>
      </c>
    </row>
    <row r="8" spans="1:13" ht="240" x14ac:dyDescent="0.25">
      <c r="A8" s="164" t="s">
        <v>1526</v>
      </c>
      <c r="B8" s="100" t="s">
        <v>1527</v>
      </c>
      <c r="C8" s="24" t="s">
        <v>965</v>
      </c>
      <c r="D8" s="135">
        <v>1.1000000000000001</v>
      </c>
      <c r="E8" s="105" t="s">
        <v>1567</v>
      </c>
      <c r="F8" s="105" t="s">
        <v>1567</v>
      </c>
      <c r="G8" s="25" t="s">
        <v>590</v>
      </c>
      <c r="H8" s="25" t="str">
        <f t="shared" ca="1" si="2"/>
        <v>Fecha,  Hora,  ID_Sucursal, Clave de Folio, Numeración Folio, ID Usuario, Monto Total, Documento Origen</v>
      </c>
      <c r="I8" s="25" t="str">
        <f>VLOOKUP(Table2[[#This Row],[Clase de pertenencia]],Table1[[#All],[Entidad]:[Atributos de la Entidad]],7,FALSE)</f>
        <v>ID del Mesero, ID del Registro Maestro, ID de la Mesa, Número de Comensales</v>
      </c>
      <c r="J8" s="25" t="str">
        <f t="shared" ca="1" si="0"/>
        <v>1. Registro de Fecha y Hora
2. Asignación de sucursal en función a la activa por el usuario registrado
3. Generación del folio según el tipo de documento del que se trate
4. Actualización del último folio disponible para el documento en cuestión
5. Asignación al documento del usuario actualmente registrado
6. Registrar el monto total del documento a ceros
7. Si existe un documento origen del documento actual, este cambiará a un estatus que impida su posterior modificación
8. El documento actual se crea con un estatus abierto</v>
      </c>
      <c r="K8" s="25" t="s">
        <v>1540</v>
      </c>
      <c r="L8" s="105" t="s">
        <v>961</v>
      </c>
      <c r="M8" s="25" t="str">
        <f t="shared" ca="1" si="1"/>
        <v>NA</v>
      </c>
    </row>
    <row r="9" spans="1:13" ht="135" x14ac:dyDescent="0.25">
      <c r="A9" s="164" t="s">
        <v>1543</v>
      </c>
      <c r="B9" s="25" t="s">
        <v>1600</v>
      </c>
      <c r="C9" s="24" t="s">
        <v>965</v>
      </c>
      <c r="D9" s="24">
        <v>1.2</v>
      </c>
      <c r="E9" s="25" t="s">
        <v>1526</v>
      </c>
      <c r="F9" s="25" t="s">
        <v>961</v>
      </c>
      <c r="G9" s="25" t="s">
        <v>590</v>
      </c>
      <c r="H9" s="25" t="e">
        <f t="shared" ca="1" si="2"/>
        <v>#N/A</v>
      </c>
      <c r="I9" s="25" t="str">
        <f>VLOOKUP(Table2[[#This Row],[Clase de pertenencia]],Table1[[#All],[Entidad]:[Atributos de la Entidad]],7,FALSE)</f>
        <v>ID del Mesero, ID del Registro Maestro, ID de la Mesa, Número de Comensales</v>
      </c>
      <c r="J9" s="25" t="e">
        <f t="shared" ca="1" si="0"/>
        <v>#N/A</v>
      </c>
      <c r="K9" s="25" t="s">
        <v>1535</v>
      </c>
      <c r="L9" s="25" t="s">
        <v>961</v>
      </c>
      <c r="M9" s="25" t="str">
        <f t="shared" ca="1" si="1"/>
        <v>NA</v>
      </c>
    </row>
    <row r="10" spans="1:13" ht="90" x14ac:dyDescent="0.25">
      <c r="A10" s="164" t="s">
        <v>1538</v>
      </c>
      <c r="B10" s="25" t="s">
        <v>1539</v>
      </c>
      <c r="C10" s="24" t="s">
        <v>965</v>
      </c>
      <c r="D10" s="24">
        <v>1.3</v>
      </c>
      <c r="E10" s="25" t="s">
        <v>1543</v>
      </c>
      <c r="F10" s="25" t="s">
        <v>1547</v>
      </c>
      <c r="G10" s="25" t="s">
        <v>590</v>
      </c>
      <c r="H10" s="25" t="str">
        <f t="shared" ca="1" si="2"/>
        <v>Fecha,  Hora,  ID_Sucursal, Clave de Folio, Numeración Folio, ID Usuario, Monto Total, Documento Origen</v>
      </c>
      <c r="I10" s="25" t="str">
        <f>VLOOKUP(Table2[[#This Row],[Clase de pertenencia]],Table1[[#All],[Entidad]:[Atributos de la Entidad]],7,FALSE)</f>
        <v>ID del Mesero, ID del Registro Maestro, ID de la Mesa, Número de Comensales</v>
      </c>
      <c r="J10" s="25" t="str">
        <f t="shared" ca="1" si="0"/>
        <v>1. Registro de Fecha y Hora de última modificación
2. Actualizar el monto total del documento al número y valor de los elementos que lo integran</v>
      </c>
      <c r="K10" s="25" t="s">
        <v>1542</v>
      </c>
      <c r="L10" s="25" t="s">
        <v>961</v>
      </c>
      <c r="M10" s="25" t="str">
        <f t="shared" ca="1" si="1"/>
        <v>NA</v>
      </c>
    </row>
    <row r="11" spans="1:13" ht="185.25" customHeight="1" x14ac:dyDescent="0.25">
      <c r="A11" s="164" t="s">
        <v>1603</v>
      </c>
      <c r="B11" s="25" t="s">
        <v>1427</v>
      </c>
      <c r="C11" s="24" t="s">
        <v>965</v>
      </c>
      <c r="D11" s="24">
        <v>1.4</v>
      </c>
      <c r="E11" s="25" t="s">
        <v>1538</v>
      </c>
      <c r="F11" s="25" t="s">
        <v>1555</v>
      </c>
      <c r="G11" s="25" t="s">
        <v>966</v>
      </c>
      <c r="H11" s="25" t="e">
        <f t="shared" ca="1" si="2"/>
        <v>#N/A</v>
      </c>
      <c r="I11" s="25" t="str">
        <f>VLOOKUP(Table2[[#This Row],[Clase de pertenencia]],Table1[[#All],[Entidad]:[Atributos de la Entidad]],7,FALSE)</f>
        <v>Fecha/Hora de Apertura, Fecha/Hora de Cierre, Observaciones del platillo</v>
      </c>
      <c r="J11" s="25" t="e">
        <f t="shared" ca="1" si="0"/>
        <v>#N/A</v>
      </c>
      <c r="K11" s="25" t="s">
        <v>1549</v>
      </c>
      <c r="L11" s="25" t="s">
        <v>961</v>
      </c>
      <c r="M11" s="25" t="str">
        <f t="shared" ca="1" si="1"/>
        <v>NA</v>
      </c>
    </row>
    <row r="12" spans="1:13" ht="75" x14ac:dyDescent="0.25">
      <c r="A12" s="164" t="s">
        <v>1602</v>
      </c>
      <c r="B12" s="25" t="s">
        <v>1537</v>
      </c>
      <c r="C12" s="24" t="s">
        <v>965</v>
      </c>
      <c r="D12" s="24">
        <v>1.5</v>
      </c>
      <c r="E12" s="25" t="s">
        <v>1544</v>
      </c>
      <c r="F12" s="105" t="s">
        <v>1555</v>
      </c>
      <c r="G12" s="25" t="s">
        <v>966</v>
      </c>
      <c r="H12" s="25" t="e">
        <f t="shared" ca="1" si="2"/>
        <v>#N/A</v>
      </c>
      <c r="I12" s="25" t="str">
        <f>VLOOKUP(Table2[[#This Row],[Clase de pertenencia]],Table1[[#All],[Entidad]:[Atributos de la Entidad]],7,FALSE)</f>
        <v>Fecha/Hora de Apertura, Fecha/Hora de Cierre, Observaciones del platillo</v>
      </c>
      <c r="J12" s="25" t="e">
        <f t="shared" ca="1" si="0"/>
        <v>#N/A</v>
      </c>
      <c r="K12" s="25" t="s">
        <v>1550</v>
      </c>
      <c r="L12" s="105" t="s">
        <v>961</v>
      </c>
      <c r="M12" s="25" t="str">
        <f t="shared" ca="1" si="1"/>
        <v>NA</v>
      </c>
    </row>
    <row r="13" spans="1:13" ht="120" x14ac:dyDescent="0.25">
      <c r="A13" s="165" t="s">
        <v>1597</v>
      </c>
      <c r="B13" s="25" t="s">
        <v>1559</v>
      </c>
      <c r="C13" s="24" t="s">
        <v>965</v>
      </c>
      <c r="D13" s="24">
        <v>1.6</v>
      </c>
      <c r="E13" s="105" t="s">
        <v>1526</v>
      </c>
      <c r="F13" s="105" t="s">
        <v>1562</v>
      </c>
      <c r="G13" s="25" t="s">
        <v>590</v>
      </c>
      <c r="H13" s="25" t="str">
        <f t="shared" ca="1" si="2"/>
        <v>Fecha,  Hora,  ID_Sucursal, Clave de Folio, Numeración Folio, ID Usuario, Monto Total, Documento Origen</v>
      </c>
      <c r="I13" s="25" t="str">
        <f>VLOOKUP(Table2[[#This Row],[Clase de pertenencia]],Table1[[#All],[Entidad]:[Atributos de la Entidad]],7,FALSE)</f>
        <v>ID del Mesero, ID del Registro Maestro, ID de la Mesa, Número de Comensales</v>
      </c>
      <c r="J13" s="25" t="str">
        <f t="shared" ca="1" si="0"/>
        <v>1. Se verifica que el documento en cuestión provenga de un estado Guardado
2. Se aplicarán ya sea la transacción, movimiento o asiento contenido en el documento.
3. El documento se guarda con un estatus que impida su posterior modificación o alteración</v>
      </c>
      <c r="K13" s="25" t="s">
        <v>1564</v>
      </c>
      <c r="L13" s="25" t="s">
        <v>1619</v>
      </c>
      <c r="M13" s="25" t="str">
        <f t="shared" ca="1" si="1"/>
        <v>1. Esta acción actualizará a nivel de registro maestro las existencias en almacén a fin de no realizar un cálculo de transacciones cada vez que se requiera conocer este valor</v>
      </c>
    </row>
    <row r="14" spans="1:13" ht="105" x14ac:dyDescent="0.25">
      <c r="A14" s="164" t="s">
        <v>1619</v>
      </c>
      <c r="B14" s="25" t="s">
        <v>1577</v>
      </c>
      <c r="C14" s="24" t="s">
        <v>965</v>
      </c>
      <c r="D14" s="138">
        <v>1.7</v>
      </c>
      <c r="E14" s="24" t="s">
        <v>1597</v>
      </c>
      <c r="F14" s="25" t="s">
        <v>1575</v>
      </c>
      <c r="G14" s="25" t="s">
        <v>1620</v>
      </c>
      <c r="H14" s="25" t="str">
        <f t="shared" ca="1" si="2"/>
        <v>SubCuenta de Cargo, SubCuenta de Abono</v>
      </c>
      <c r="I14" s="102" t="str">
        <f>VLOOKUP(Table2[[#This Row],[Clase de pertenencia]],Table1[[#All],[Entidad]:[Atributos de la Entidad]],7,FALSE)</f>
        <v>Concepto de la Transacción, , ID Almacen Entrada,  ID Almacen Salida,  Cantidad, Costo Unitario, Costo Total, Id_Mercancía, Saldo</v>
      </c>
      <c r="J14" s="102" t="str">
        <f t="shared" ca="1" si="0"/>
        <v>1. El sistema especificará la subcuenta de cargo para la transacción así como la subcuenta de abono.
2. El monto asociado con el documento que esta acción recibe como parámetro será aplicado en la subcuenta de cargo y la subcuenta de abono especificada.</v>
      </c>
      <c r="K14" s="25" t="s">
        <v>1578</v>
      </c>
      <c r="L14" s="138" t="s">
        <v>961</v>
      </c>
      <c r="M14" s="25" t="str">
        <f t="shared" ca="1" si="1"/>
        <v>NA</v>
      </c>
    </row>
    <row r="15" spans="1:13" ht="240" x14ac:dyDescent="0.25">
      <c r="A15" s="164" t="s">
        <v>1563</v>
      </c>
      <c r="B15" s="25" t="s">
        <v>1566</v>
      </c>
      <c r="C15" s="24" t="s">
        <v>965</v>
      </c>
      <c r="D15" s="24">
        <v>2.1</v>
      </c>
      <c r="E15" s="24" t="s">
        <v>1597</v>
      </c>
      <c r="F15" s="25" t="s">
        <v>1567</v>
      </c>
      <c r="G15" s="25" t="s">
        <v>979</v>
      </c>
      <c r="H15" s="25" t="str">
        <f t="shared" ca="1" si="2"/>
        <v>Fecha,  Hora,  ID_Sucursal, Clave de Folio, Numeración Folio, ID Usuario, Monto Total, Documento Origen</v>
      </c>
      <c r="I15" s="25" t="str">
        <f>VLOOKUP(Table2[[#This Row],[Clase de pertenencia]],Table1[[#All],[Entidad]:[Atributos de la Entidad]],7,FALSE)</f>
        <v>ID_Orden, Cargo Cliente, ID_Cliente, Impuesto al Cliente, Descuento al Cliente</v>
      </c>
      <c r="J15" s="25" t="str">
        <f t="shared" ca="1" si="0"/>
        <v>1. Registro de Fecha y Hora
2. Asignación de sucursal en función a la activa por el usuario registrado
3. Generación del folio según el tipo de documento del que se trate
4. Actualización del último folio disponible para el documento en cuestión
5. Asignación al documento del usuario actualmente registrado
6. Registrar el monto total del documento a ceros
7. Si existe un documento origen del documento actual, este cambiará a un estatus que impida su posterior modificación
8. El documento actual se crea con un estatus abierto</v>
      </c>
      <c r="K15" s="25" t="s">
        <v>1594</v>
      </c>
      <c r="L15" s="138" t="s">
        <v>961</v>
      </c>
      <c r="M15" s="25" t="str">
        <f t="shared" ca="1" si="1"/>
        <v>NA</v>
      </c>
    </row>
    <row r="16" spans="1:13" ht="120" x14ac:dyDescent="0.25">
      <c r="A16" s="165" t="s">
        <v>1596</v>
      </c>
      <c r="B16" s="25" t="s">
        <v>1598</v>
      </c>
      <c r="C16" s="24" t="s">
        <v>965</v>
      </c>
      <c r="D16" s="24">
        <v>2.2000000000000002</v>
      </c>
      <c r="E16" s="24" t="s">
        <v>1563</v>
      </c>
      <c r="F16" s="25" t="s">
        <v>1562</v>
      </c>
      <c r="G16" s="25" t="s">
        <v>979</v>
      </c>
      <c r="H16" s="25" t="str">
        <f t="shared" ca="1" si="2"/>
        <v>Fecha,  Hora,  ID_Sucursal, Clave de Folio, Numeración Folio, ID Usuario, Monto Total, Documento Origen</v>
      </c>
      <c r="I16" s="25" t="str">
        <f>VLOOKUP(Table2[[#This Row],[Clase de pertenencia]],Table1[[#All],[Entidad]:[Atributos de la Entidad]],7,FALSE)</f>
        <v>ID_Orden, Cargo Cliente, ID_Cliente, Impuesto al Cliente, Descuento al Cliente</v>
      </c>
      <c r="J16" s="25" t="str">
        <f t="shared" ca="1" si="0"/>
        <v>1. Se verifica que el documento en cuestión provenga de un estado Guardado
2. Se aplicarán ya sea la transacción, movimiento o asiento contenido en el documento.
3. El documento se guarda con un estatus que impida su posterior modificación o alteración</v>
      </c>
      <c r="K16" s="25" t="s">
        <v>1599</v>
      </c>
      <c r="L16" s="25" t="s">
        <v>1619</v>
      </c>
      <c r="M16" s="25" t="str">
        <f t="shared" ca="1" si="1"/>
        <v>1. Esta acción actualizará a nivel de registro maestro las existencias en almacén a fin de no realizar un cálculo de transacciones cada vez que se requiera conocer este valor</v>
      </c>
    </row>
    <row r="17" spans="1:13" ht="240" x14ac:dyDescent="0.25">
      <c r="A17" s="165" t="s">
        <v>1572</v>
      </c>
      <c r="B17" s="25" t="s">
        <v>1573</v>
      </c>
      <c r="C17" s="24" t="s">
        <v>965</v>
      </c>
      <c r="D17" s="24">
        <v>3.1</v>
      </c>
      <c r="E17" s="25" t="s">
        <v>1597</v>
      </c>
      <c r="F17" s="105" t="s">
        <v>1567</v>
      </c>
      <c r="G17" s="24" t="s">
        <v>992</v>
      </c>
      <c r="H17" s="25" t="str">
        <f t="shared" ca="1" si="2"/>
        <v>Fecha,  Hora,  ID_Sucursal, Clave de Folio, Numeración Folio, ID Usuario, Monto Total, Documento Origen</v>
      </c>
      <c r="I17" s="25" t="str">
        <f>VLOOKUP(Table2[[#This Row],[Clase de pertenencia]],Table1[[#All],[Entidad]:[Atributos de la Entidad]],7,FALSE)</f>
        <v>ID_Nota de Venta, Forma de Pago del Cliente</v>
      </c>
      <c r="J17" s="25" t="str">
        <f t="shared" ca="1" si="0"/>
        <v>1. Registro de Fecha y Hora
2. Asignación de sucursal en función a la activa por el usuario registrado
3. Generación del folio según el tipo de documento del que se trate
4. Actualización del último folio disponible para el documento en cuestión
5. Asignación al documento del usuario actualmente registrado
6. Registrar el monto total del documento a ceros
7. Si existe un documento origen del documento actual, este cambiará a un estatus que impida su posterior modificación
8. El documento actual se crea con un estatus abierto</v>
      </c>
      <c r="K17" s="25" t="s">
        <v>1595</v>
      </c>
      <c r="L17" s="105" t="s">
        <v>1586</v>
      </c>
      <c r="M17" s="25" t="str">
        <f t="shared" ca="1" si="1"/>
        <v>1. Esta acción actualizará el saldo actual de la caja a fin de no realizar un cálculo de transacciones cada vez que se requiera conocer este valor</v>
      </c>
    </row>
    <row r="18" spans="1:13" ht="105" x14ac:dyDescent="0.25">
      <c r="A18" s="164" t="s">
        <v>1586</v>
      </c>
      <c r="B18" s="25" t="s">
        <v>1585</v>
      </c>
      <c r="C18" s="24" t="s">
        <v>965</v>
      </c>
      <c r="D18" s="24" t="s">
        <v>1607</v>
      </c>
      <c r="E18" s="24" t="s">
        <v>1572</v>
      </c>
      <c r="F18" s="105" t="s">
        <v>1575</v>
      </c>
      <c r="G18" s="24" t="s">
        <v>1587</v>
      </c>
      <c r="H18" s="25" t="str">
        <f t="shared" ca="1" si="2"/>
        <v>SubCuenta de Cargo, SubCuenta de Abono</v>
      </c>
      <c r="I18" s="25" t="str">
        <f>VLOOKUP(Table2[[#This Row],[Clase de pertenencia]],Table1[[#All],[Entidad]:[Atributos de la Entidad]],7,FALSE)</f>
        <v>Tipo de Movimiento, Concepto</v>
      </c>
      <c r="J18" s="25" t="str">
        <f t="shared" ca="1" si="0"/>
        <v>1. El sistema especificará la subcuenta de cargo para la transacción así como la subcuenta de abono.
2. El monto asociado con el documento que esta acción recibe como parámetro será aplicado en la subcuenta de cargo y la subcuenta de abono especificada.</v>
      </c>
      <c r="K18" s="25" t="s">
        <v>1589</v>
      </c>
      <c r="L18" s="138" t="s">
        <v>961</v>
      </c>
      <c r="M18" s="25" t="str">
        <f t="shared" ca="1" si="1"/>
        <v>NA</v>
      </c>
    </row>
    <row r="19" spans="1:13" ht="105" x14ac:dyDescent="0.25">
      <c r="A19" s="164" t="s">
        <v>1592</v>
      </c>
      <c r="B19" s="25" t="s">
        <v>1590</v>
      </c>
      <c r="C19" s="24" t="s">
        <v>965</v>
      </c>
      <c r="D19" s="24" t="s">
        <v>1606</v>
      </c>
      <c r="E19" s="24" t="s">
        <v>1572</v>
      </c>
      <c r="F19" s="25" t="s">
        <v>1575</v>
      </c>
      <c r="G19" s="24" t="s">
        <v>976</v>
      </c>
      <c r="H19" s="25" t="str">
        <f t="shared" ca="1" si="2"/>
        <v>SubCuenta de Cargo, SubCuenta de Abono</v>
      </c>
      <c r="I19" s="25" t="str">
        <f>VLOOKUP(Table2[[#This Row],[Clase de pertenencia]],Table1[[#All],[Entidad]:[Atributos de la Entidad]],7,FALSE)</f>
        <v>Concepto de la Transacción,  Tipo de Cambio, Número de Autorización de la Transferencia</v>
      </c>
      <c r="J19" s="25" t="str">
        <f t="shared" ca="1" si="0"/>
        <v>1. El sistema especificará la subcuenta de cargo para la transacción así como la subcuenta de abono.
2. El monto asociado con el documento que esta acción recibe como parámetro será aplicado en la subcuenta de cargo y la subcuenta de abono especificada.</v>
      </c>
      <c r="K19" s="25" t="s">
        <v>1593</v>
      </c>
      <c r="L19" s="138" t="s">
        <v>961</v>
      </c>
      <c r="M19" s="25" t="str">
        <f t="shared" ca="1" si="1"/>
        <v>NA</v>
      </c>
    </row>
    <row r="20" spans="1:13" ht="240" x14ac:dyDescent="0.25">
      <c r="A20" s="165" t="s">
        <v>1601</v>
      </c>
      <c r="B20" s="25" t="s">
        <v>1605</v>
      </c>
      <c r="C20" s="24" t="s">
        <v>965</v>
      </c>
      <c r="D20" s="24">
        <v>3.2</v>
      </c>
      <c r="E20" s="24" t="s">
        <v>1572</v>
      </c>
      <c r="F20" s="25" t="s">
        <v>1567</v>
      </c>
      <c r="G20" s="24" t="s">
        <v>1000</v>
      </c>
      <c r="H20" s="25" t="str">
        <f t="shared" ca="1" si="2"/>
        <v>Fecha,  Hora,  ID_Sucursal, Clave de Folio, Numeración Folio, ID Usuario, Monto Total, Documento Origen</v>
      </c>
      <c r="I20" s="25" t="str">
        <f>VLOOKUP(Table2[[#This Row],[Clase de pertenencia]],Table1[[#All],[Entidad]:[Atributos de la Entidad]],7,FALSE)</f>
        <v>ID_Cliente</v>
      </c>
      <c r="J20" s="25" t="str">
        <f t="shared" ca="1" si="0"/>
        <v>1. Registro de Fecha y Hora
2. Asignación de sucursal en función a la activa por el usuario registrado
3. Generación del folio según el tipo de documento del que se trate
4. Actualización del último folio disponible para el documento en cuestión
5. Asignación al documento del usuario actualmente registrado
6. Registrar el monto total del documento a ceros
7. Si existe un documento origen del documento actual, este cambiará a un estatus que impida su posterior modificación
8. El documento actual se crea con un estatus abierto</v>
      </c>
      <c r="K20" s="25" t="s">
        <v>1608</v>
      </c>
      <c r="L20" s="24" t="s">
        <v>1575</v>
      </c>
      <c r="M20" s="25" t="str">
        <f t="shared" ca="1" si="1"/>
        <v>1. El sistema especificará la subcuenta de cargo para la transacción así como la subcuenta de abono.
2. El monto asociado con el documento que esta acción recibe como parámetro será aplicado en la subcuenta de cargo y la subcuenta de abono especificada.</v>
      </c>
    </row>
    <row r="21" spans="1:13" ht="240" x14ac:dyDescent="0.25">
      <c r="A21" s="165" t="s">
        <v>1609</v>
      </c>
      <c r="B21" s="25" t="s">
        <v>1610</v>
      </c>
      <c r="C21" s="24" t="s">
        <v>965</v>
      </c>
      <c r="D21" s="24">
        <v>4.0999999999999996</v>
      </c>
      <c r="E21" s="24" t="s">
        <v>1567</v>
      </c>
      <c r="F21" s="25" t="s">
        <v>1567</v>
      </c>
      <c r="G21" s="24" t="s">
        <v>592</v>
      </c>
      <c r="H21" s="25" t="str">
        <f t="shared" ca="1" si="2"/>
        <v>Fecha,  Hora,  ID_Sucursal, Clave de Folio, Numeración Folio, ID Usuario, Monto Total, Documento Origen</v>
      </c>
      <c r="I21" s="25" t="str">
        <f>VLOOKUP(Table2[[#This Row],[Clase de pertenencia]],Table1[[#All],[Entidad]:[Atributos de la Entidad]],7,FALSE)</f>
        <v>ID_Proveedor, ID_Registro Maestro,  Presentación de Compra, Cantidad, Precio Unitario, Precio Total, ID_Almacen, Cantidad Surtida</v>
      </c>
      <c r="J21" s="25" t="str">
        <f t="shared" ca="1" si="0"/>
        <v>1. Registro de Fecha y Hora
2. Asignación de sucursal en función a la activa por el usuario registrado
3. Generación del folio según el tipo de documento del que se trate
4. Actualización del último folio disponible para el documento en cuestión
5. Asignación al documento del usuario actualmente registrado
6. Registrar el monto total del documento a ceros
7. Si existe un documento origen del documento actual, este cambiará a un estatus que impida su posterior modificación
8. El documento actual se crea con un estatus abierto</v>
      </c>
      <c r="K21" s="25" t="s">
        <v>1612</v>
      </c>
      <c r="L21" s="138" t="s">
        <v>961</v>
      </c>
      <c r="M21" s="25" t="str">
        <f t="shared" ca="1" si="1"/>
        <v>NA</v>
      </c>
    </row>
    <row r="22" spans="1:13" ht="90" x14ac:dyDescent="0.25">
      <c r="A22" s="165" t="s">
        <v>1611</v>
      </c>
      <c r="B22" s="25" t="s">
        <v>1613</v>
      </c>
      <c r="C22" s="24" t="s">
        <v>965</v>
      </c>
      <c r="D22" s="24">
        <v>4.2</v>
      </c>
      <c r="E22" s="135" t="s">
        <v>1609</v>
      </c>
      <c r="F22" s="25" t="s">
        <v>961</v>
      </c>
      <c r="G22" s="24" t="s">
        <v>592</v>
      </c>
      <c r="H22" s="25" t="e">
        <f t="shared" ca="1" si="2"/>
        <v>#N/A</v>
      </c>
      <c r="I22" s="25" t="str">
        <f>VLOOKUP(Table2[[#This Row],[Clase de pertenencia]],Table1[[#All],[Entidad]:[Atributos de la Entidad]],7,FALSE)</f>
        <v>ID_Proveedor, ID_Registro Maestro,  Presentación de Compra, Cantidad, Precio Unitario, Precio Total, ID_Almacen, Cantidad Surtida</v>
      </c>
      <c r="J22" s="24" t="e">
        <f t="shared" ca="1" si="0"/>
        <v>#N/A</v>
      </c>
      <c r="K22" s="25" t="s">
        <v>1614</v>
      </c>
      <c r="L22" s="138" t="s">
        <v>961</v>
      </c>
      <c r="M22" s="25" t="str">
        <f t="shared" ca="1" si="1"/>
        <v>NA</v>
      </c>
    </row>
    <row r="23" spans="1:13" ht="240" x14ac:dyDescent="0.25">
      <c r="A23" s="165" t="s">
        <v>1616</v>
      </c>
      <c r="B23" s="25" t="s">
        <v>1618</v>
      </c>
      <c r="C23" s="24" t="s">
        <v>965</v>
      </c>
      <c r="D23" s="24">
        <v>5.0999999999999996</v>
      </c>
      <c r="E23" s="135" t="s">
        <v>1609</v>
      </c>
      <c r="F23" s="25" t="s">
        <v>1567</v>
      </c>
      <c r="G23" s="24" t="s">
        <v>676</v>
      </c>
      <c r="H23" s="25" t="str">
        <f t="shared" ca="1" si="2"/>
        <v>Fecha,  Hora,  ID_Sucursal, Clave de Folio, Numeración Folio, ID Usuario, Monto Total, Documento Origen</v>
      </c>
      <c r="I23" s="25" t="str">
        <f>VLOOKUP(Table2[[#This Row],[Clase de pertenencia]],Table1[[#All],[Entidad]:[Atributos de la Entidad]],7,FALSE)</f>
        <v>ID_Orden de Compra, Fecha de Ingreso, ID_Proveedor, ID_Registro Maestro,  Presentación de Compra, Cantidad, Precio Unitario, Precio Total, ID_Almacen, Cargos del Proveedor</v>
      </c>
      <c r="J23" s="25" t="str">
        <f t="shared" ca="1" si="0"/>
        <v>1. Registro de Fecha y Hora
2. Asignación de sucursal en función a la activa por el usuario registrado
3. Generación del folio según el tipo de documento del que se trate
4. Actualización del último folio disponible para el documento en cuestión
5. Asignación al documento del usuario actualmente registrado
6. Registrar el monto total del documento a ceros
7. Si existe un documento origen del documento actual, este cambiará a un estatus que impida su posterior modificación
8. El documento actual se crea con un estatus abierto</v>
      </c>
      <c r="K23" s="25" t="s">
        <v>1615</v>
      </c>
      <c r="L23" s="138" t="s">
        <v>1621</v>
      </c>
      <c r="M23" s="25" t="str">
        <f t="shared" ca="1" si="1"/>
        <v>1. Esta acción actualizará a nivel de registro maestro las existencias en almacén a fin de no realizar un cálculo de transacciones cada vez que se requiera conocer este valor</v>
      </c>
    </row>
    <row r="24" spans="1:13" ht="240" x14ac:dyDescent="0.25">
      <c r="A24" s="164" t="s">
        <v>1622</v>
      </c>
      <c r="B24" s="25" t="s">
        <v>1625</v>
      </c>
      <c r="C24" s="24" t="s">
        <v>965</v>
      </c>
      <c r="D24" s="24">
        <v>6.1</v>
      </c>
      <c r="E24" s="135" t="s">
        <v>1616</v>
      </c>
      <c r="F24" s="25" t="s">
        <v>1567</v>
      </c>
      <c r="G24" s="24" t="s">
        <v>1001</v>
      </c>
      <c r="H24" s="25" t="str">
        <f t="shared" ca="1" si="2"/>
        <v>Fecha,  Hora,  ID_Sucursal, Clave de Folio, Numeración Folio, ID Usuario, Monto Total, Documento Origen</v>
      </c>
      <c r="I24" s="25" t="str">
        <f>VLOOKUP(Table2[[#This Row],[Clase de pertenencia]],Table1[[#All],[Entidad]:[Atributos de la Entidad]],7,FALSE)</f>
        <v>ID_Proveedor, Folio de factura del proveedor (propia del proveedor), Cargos de Proveedor, Monto del Cargo (en caso de que no fueran considerados en la recepción de mercancías), Folio de Comprobante de Aprobación/Verificacion (obtenido de SAT)</v>
      </c>
      <c r="J24" s="25" t="str">
        <f t="shared" ca="1" si="0"/>
        <v>1. Registro de Fecha y Hora
2. Asignación de sucursal en función a la activa por el usuario registrado
3. Generación del folio según el tipo de documento del que se trate
4. Actualización del último folio disponible para el documento en cuestión
5. Asignación al documento del usuario actualmente registrado
6. Registrar el monto total del documento a ceros
7. Si existe un documento origen del documento actual, este cambiará a un estatus que impida su posterior modificación
8. El documento actual se crea con un estatus abierto</v>
      </c>
      <c r="K24" s="25" t="s">
        <v>1623</v>
      </c>
      <c r="L24" s="138" t="s">
        <v>961</v>
      </c>
      <c r="M24" s="25" t="str">
        <f t="shared" ca="1" si="1"/>
        <v>NA</v>
      </c>
    </row>
    <row r="25" spans="1:13" ht="240" x14ac:dyDescent="0.25">
      <c r="A25" s="164" t="s">
        <v>1624</v>
      </c>
      <c r="B25" s="25" t="s">
        <v>1626</v>
      </c>
      <c r="C25" s="24" t="s">
        <v>965</v>
      </c>
      <c r="D25" s="24">
        <v>6.2</v>
      </c>
      <c r="E25" s="105" t="s">
        <v>1622</v>
      </c>
      <c r="F25" s="25" t="s">
        <v>1567</v>
      </c>
      <c r="G25" s="24" t="s">
        <v>1001</v>
      </c>
      <c r="H25" s="25" t="str">
        <f t="shared" ca="1" si="2"/>
        <v>Fecha,  Hora,  ID_Sucursal, Clave de Folio, Numeración Folio, ID Usuario, Monto Total, Documento Origen</v>
      </c>
      <c r="I25" s="25" t="str">
        <f>VLOOKUP(Table2[[#This Row],[Clase de pertenencia]],Table1[[#All],[Entidad]:[Atributos de la Entidad]],7,FALSE)</f>
        <v>ID_Proveedor, Folio de factura del proveedor (propia del proveedor), Cargos de Proveedor, Monto del Cargo (en caso de que no fueran considerados en la recepción de mercancías), Folio de Comprobante de Aprobación/Verificacion (obtenido de SAT)</v>
      </c>
      <c r="J25" s="25" t="str">
        <f t="shared" ca="1" si="0"/>
        <v>1. Registro de Fecha y Hora
2. Asignación de sucursal en función a la activa por el usuario registrado
3. Generación del folio según el tipo de documento del que se trate
4. Actualización del último folio disponible para el documento en cuestión
5. Asignación al documento del usuario actualmente registrado
6. Registrar el monto total del documento a ceros
7. Si existe un documento origen del documento actual, este cambiará a un estatus que impida su posterior modificación
8. El documento actual se crea con un estatus abierto</v>
      </c>
      <c r="K25" s="25" t="s">
        <v>1627</v>
      </c>
      <c r="L25" s="138" t="s">
        <v>961</v>
      </c>
      <c r="M25" s="25" t="str">
        <f t="shared" ca="1" si="1"/>
        <v>NA</v>
      </c>
    </row>
    <row r="26" spans="1:13" ht="240" x14ac:dyDescent="0.25">
      <c r="A26" s="164" t="s">
        <v>1629</v>
      </c>
      <c r="B26" s="25" t="s">
        <v>1630</v>
      </c>
      <c r="C26" s="24" t="s">
        <v>965</v>
      </c>
      <c r="D26" s="24">
        <v>6.3</v>
      </c>
      <c r="E26" s="105" t="s">
        <v>1624</v>
      </c>
      <c r="F26" s="25" t="s">
        <v>1567</v>
      </c>
      <c r="G26" s="25" t="s">
        <v>1049</v>
      </c>
      <c r="H26" s="25" t="str">
        <f t="shared" ca="1" si="2"/>
        <v>Fecha,  Hora,  ID_Sucursal, Clave de Folio, Numeración Folio, ID Usuario, Monto Total, Documento Origen</v>
      </c>
      <c r="I26" s="25" t="str">
        <f>VLOOKUP(Table2[[#This Row],[Clase de pertenencia]],Table1[[#All],[Entidad]:[Atributos de la Entidad]],7,FALSE)</f>
        <v>ID_Factura_Proveedor</v>
      </c>
      <c r="J26" s="25" t="str">
        <f t="shared" ca="1" si="0"/>
        <v>1. Registro de Fecha y Hora
2. Asignación de sucursal en función a la activa por el usuario registrado
3. Generación del folio según el tipo de documento del que se trate
4. Actualización del último folio disponible para el documento en cuestión
5. Asignación al documento del usuario actualmente registrado
6. Registrar el monto total del documento a ceros
7. Si existe un documento origen del documento actual, este cambiará a un estatus que impida su posterior modificación
8. El documento actual se crea con un estatus abierto</v>
      </c>
      <c r="K26" s="25" t="s">
        <v>1631</v>
      </c>
      <c r="L26" s="24" t="s">
        <v>1575</v>
      </c>
      <c r="M26" s="25" t="str">
        <f t="shared" ca="1" si="1"/>
        <v>1. El sistema especificará la subcuenta de cargo para la transacción así como la subcuenta de abono.
2. El monto asociado con el documento que esta acción recibe como parámetro será aplicado en la subcuenta de cargo y la subcuenta de abono especificada.</v>
      </c>
    </row>
    <row r="27" spans="1:13" ht="240" x14ac:dyDescent="0.25">
      <c r="A27" s="165" t="s">
        <v>1632</v>
      </c>
      <c r="B27" s="25" t="s">
        <v>1633</v>
      </c>
      <c r="C27" s="24" t="s">
        <v>965</v>
      </c>
      <c r="D27" s="105">
        <v>6.4</v>
      </c>
      <c r="E27" s="105" t="s">
        <v>1624</v>
      </c>
      <c r="F27" s="25" t="s">
        <v>1567</v>
      </c>
      <c r="G27" s="24" t="s">
        <v>571</v>
      </c>
      <c r="H27" s="25" t="str">
        <f t="shared" ca="1" si="2"/>
        <v>Fecha,  Hora,  ID_Sucursal, Clave de Folio, Numeración Folio, ID Usuario, Monto Total, Documento Origen</v>
      </c>
      <c r="I27" s="25" t="str">
        <f>VLOOKUP(Table2[[#This Row],[Clase de pertenencia]],Table1[[#All],[Entidad]:[Atributos de la Entidad]],7,FALSE)</f>
        <v>ID_Factura de Proveedor, Forma de Pago al Proveedor, Cargos del Proveedor, Descuento del Proveedor</v>
      </c>
      <c r="J27" s="25" t="str">
        <f t="shared" ca="1" si="0"/>
        <v>1. Registro de Fecha y Hora
2. Asignación de sucursal en función a la activa por el usuario registrado
3. Generación del folio según el tipo de documento del que se trate
4. Actualización del último folio disponible para el documento en cuestión
5. Asignación al documento del usuario actualmente registrado
6. Registrar el monto total del documento a ceros
7. Si existe un documento origen del documento actual, este cambiará a un estatus que impida su posterior modificación
8. El documento actual se crea con un estatus abierto</v>
      </c>
      <c r="K27" s="25" t="s">
        <v>1634</v>
      </c>
      <c r="L27" s="105" t="s">
        <v>1592</v>
      </c>
      <c r="M27" s="25" t="str">
        <f t="shared" ca="1" si="1"/>
        <v>1. Esta acción actualizará el saldo actual de la cuenta bancaria a fin de no realizar un cálculo de transacciones cada vez que se requiera conocer este valor</v>
      </c>
    </row>
    <row r="28" spans="1:13" x14ac:dyDescent="0.25">
      <c r="A28" s="136"/>
      <c r="B28" s="99"/>
      <c r="C28" s="137"/>
      <c r="D28" s="137"/>
      <c r="E28" s="137"/>
      <c r="F28" s="25"/>
      <c r="G28" s="137"/>
      <c r="H28" s="137"/>
      <c r="I28" s="137" t="e">
        <f>VLOOKUP(Table2[[#This Row],[Clase de pertenencia]],Table1[[#All],[Entidad]:[Atributos de la Entidad]],7,FALSE)</f>
        <v>#N/A</v>
      </c>
      <c r="J28" s="137" t="e">
        <f t="shared" ca="1" si="0"/>
        <v>#N/A</v>
      </c>
      <c r="K28" s="137"/>
      <c r="L28" s="137"/>
      <c r="M28" s="137"/>
    </row>
  </sheetData>
  <dataValidations count="2">
    <dataValidation type="list" allowBlank="1" showInputMessage="1" showErrorMessage="1" sqref="L3:L6 E4 F4:F6 F9:F11 F14:F16 F19:F28">
      <formula1>Acciones</formula1>
    </dataValidation>
    <dataValidation type="list" allowBlank="1" showInputMessage="1" showErrorMessage="1" sqref="G3:G6 G14 G19">
      <formula1>Entidades</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3"/>
  <sheetViews>
    <sheetView workbookViewId="0">
      <selection activeCell="D5" sqref="D5"/>
    </sheetView>
  </sheetViews>
  <sheetFormatPr defaultRowHeight="15" x14ac:dyDescent="0.25"/>
  <sheetData>
    <row r="2" spans="1:1" x14ac:dyDescent="0.25">
      <c r="A2" t="s">
        <v>1692</v>
      </c>
    </row>
    <row r="3" spans="1:1" ht="90" x14ac:dyDescent="0.25">
      <c r="A3" s="147" t="s">
        <v>1543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H130"/>
  <sheetViews>
    <sheetView zoomScale="70" zoomScaleNormal="70" workbookViewId="0">
      <pane xSplit="2" ySplit="2" topLeftCell="C3" activePane="bottomRight" state="frozen"/>
      <selection pane="topRight" activeCell="C1" sqref="C1"/>
      <selection pane="bottomLeft" activeCell="A3" sqref="A3"/>
      <selection pane="bottomRight" activeCell="C83" sqref="C83"/>
    </sheetView>
  </sheetViews>
  <sheetFormatPr defaultRowHeight="15" x14ac:dyDescent="0.25"/>
  <cols>
    <col min="1" max="1" width="37.5703125" bestFit="1" customWidth="1"/>
    <col min="2" max="2" width="28" bestFit="1" customWidth="1"/>
    <col min="3" max="3" width="18.28515625" bestFit="1" customWidth="1"/>
    <col min="4" max="4" width="24" bestFit="1" customWidth="1"/>
    <col min="5" max="5" width="14.28515625" bestFit="1" customWidth="1"/>
    <col min="6" max="6" width="14.5703125" bestFit="1" customWidth="1"/>
    <col min="8" max="8" width="46" customWidth="1"/>
  </cols>
  <sheetData>
    <row r="2" spans="1:8" x14ac:dyDescent="0.25">
      <c r="C2" t="s">
        <v>586</v>
      </c>
      <c r="D2" t="s">
        <v>1484</v>
      </c>
      <c r="E2" t="s">
        <v>1701</v>
      </c>
      <c r="F2" t="s">
        <v>1702</v>
      </c>
      <c r="G2" t="s">
        <v>1703</v>
      </c>
      <c r="H2" t="s">
        <v>1200</v>
      </c>
    </row>
    <row r="3" spans="1:8" x14ac:dyDescent="0.25">
      <c r="A3" s="150" t="s">
        <v>1432</v>
      </c>
      <c r="C3" t="s">
        <v>1699</v>
      </c>
      <c r="D3" t="s">
        <v>1700</v>
      </c>
      <c r="E3" t="s">
        <v>90</v>
      </c>
      <c r="F3" t="s">
        <v>1704</v>
      </c>
      <c r="G3" t="s">
        <v>1705</v>
      </c>
    </row>
    <row r="4" spans="1:8" x14ac:dyDescent="0.25">
      <c r="C4" t="s">
        <v>1706</v>
      </c>
      <c r="D4" t="s">
        <v>1707</v>
      </c>
      <c r="E4" t="s">
        <v>1708</v>
      </c>
      <c r="G4" t="s">
        <v>1712</v>
      </c>
      <c r="H4" t="s">
        <v>1713</v>
      </c>
    </row>
    <row r="5" spans="1:8" x14ac:dyDescent="0.25">
      <c r="E5" t="s">
        <v>1709</v>
      </c>
      <c r="G5" t="s">
        <v>1714</v>
      </c>
    </row>
    <row r="6" spans="1:8" x14ac:dyDescent="0.25">
      <c r="E6" t="s">
        <v>267</v>
      </c>
      <c r="G6" t="s">
        <v>1715</v>
      </c>
    </row>
    <row r="7" spans="1:8" x14ac:dyDescent="0.25">
      <c r="E7" t="s">
        <v>1670</v>
      </c>
      <c r="G7" t="s">
        <v>1717</v>
      </c>
    </row>
    <row r="8" spans="1:8" x14ac:dyDescent="0.25">
      <c r="E8" t="s">
        <v>157</v>
      </c>
      <c r="G8" t="s">
        <v>1718</v>
      </c>
    </row>
    <row r="9" spans="1:8" x14ac:dyDescent="0.25">
      <c r="E9" t="s">
        <v>1710</v>
      </c>
      <c r="G9" t="s">
        <v>1719</v>
      </c>
    </row>
    <row r="10" spans="1:8" x14ac:dyDescent="0.25">
      <c r="E10" t="s">
        <v>1711</v>
      </c>
      <c r="G10" t="s">
        <v>1721</v>
      </c>
    </row>
    <row r="11" spans="1:8" x14ac:dyDescent="0.25">
      <c r="E11" t="s">
        <v>1720</v>
      </c>
      <c r="G11" t="s">
        <v>591</v>
      </c>
    </row>
    <row r="12" spans="1:8" x14ac:dyDescent="0.25">
      <c r="C12" t="s">
        <v>1329</v>
      </c>
      <c r="D12" t="s">
        <v>1723</v>
      </c>
      <c r="E12" t="s">
        <v>1724</v>
      </c>
      <c r="G12" t="s">
        <v>1726</v>
      </c>
    </row>
    <row r="13" spans="1:8" x14ac:dyDescent="0.25">
      <c r="E13" t="s">
        <v>1725</v>
      </c>
      <c r="G13" t="s">
        <v>1727</v>
      </c>
    </row>
    <row r="14" spans="1:8" x14ac:dyDescent="0.25">
      <c r="C14" t="s">
        <v>958</v>
      </c>
      <c r="D14" t="s">
        <v>1567</v>
      </c>
      <c r="E14" t="s">
        <v>95</v>
      </c>
      <c r="G14" t="s">
        <v>1733</v>
      </c>
    </row>
    <row r="15" spans="1:8" x14ac:dyDescent="0.25">
      <c r="E15" t="s">
        <v>96</v>
      </c>
      <c r="G15" t="s">
        <v>1734</v>
      </c>
    </row>
    <row r="16" spans="1:8" x14ac:dyDescent="0.25">
      <c r="E16" t="s">
        <v>1728</v>
      </c>
      <c r="G16" t="s">
        <v>1735</v>
      </c>
    </row>
    <row r="17" spans="1:7" x14ac:dyDescent="0.25">
      <c r="E17" t="s">
        <v>1729</v>
      </c>
      <c r="G17" t="s">
        <v>1736</v>
      </c>
    </row>
    <row r="18" spans="1:7" x14ac:dyDescent="0.25">
      <c r="E18" t="s">
        <v>1730</v>
      </c>
      <c r="G18" t="s">
        <v>1737</v>
      </c>
    </row>
    <row r="19" spans="1:7" x14ac:dyDescent="0.25">
      <c r="E19" t="s">
        <v>1731</v>
      </c>
      <c r="G19" t="s">
        <v>1738</v>
      </c>
    </row>
    <row r="20" spans="1:7" x14ac:dyDescent="0.25">
      <c r="E20" t="s">
        <v>289</v>
      </c>
      <c r="G20" t="s">
        <v>157</v>
      </c>
    </row>
    <row r="21" spans="1:7" x14ac:dyDescent="0.25">
      <c r="E21" t="s">
        <v>1732</v>
      </c>
      <c r="G21" t="s">
        <v>1721</v>
      </c>
    </row>
    <row r="22" spans="1:7" s="149" customFormat="1" x14ac:dyDescent="0.25"/>
    <row r="23" spans="1:7" x14ac:dyDescent="0.25">
      <c r="A23" s="150" t="s">
        <v>1596</v>
      </c>
      <c r="C23" t="s">
        <v>979</v>
      </c>
      <c r="D23" t="s">
        <v>1596</v>
      </c>
      <c r="E23" t="s">
        <v>90</v>
      </c>
      <c r="F23" t="s">
        <v>1704</v>
      </c>
      <c r="G23" t="s">
        <v>1705</v>
      </c>
    </row>
    <row r="24" spans="1:7" x14ac:dyDescent="0.25">
      <c r="C24" t="s">
        <v>1706</v>
      </c>
      <c r="D24" t="s">
        <v>1707</v>
      </c>
      <c r="E24" t="s">
        <v>1708</v>
      </c>
      <c r="G24" t="s">
        <v>1740</v>
      </c>
    </row>
    <row r="25" spans="1:7" x14ac:dyDescent="0.25">
      <c r="E25" t="s">
        <v>1709</v>
      </c>
      <c r="G25" t="s">
        <v>1741</v>
      </c>
    </row>
    <row r="26" spans="1:7" x14ac:dyDescent="0.25">
      <c r="E26" t="s">
        <v>267</v>
      </c>
      <c r="G26" t="s">
        <v>1742</v>
      </c>
    </row>
    <row r="27" spans="1:7" x14ac:dyDescent="0.25">
      <c r="E27" t="s">
        <v>1670</v>
      </c>
      <c r="G27" t="s">
        <v>1743</v>
      </c>
    </row>
    <row r="28" spans="1:7" x14ac:dyDescent="0.25">
      <c r="E28" t="s">
        <v>157</v>
      </c>
      <c r="G28" t="s">
        <v>1744</v>
      </c>
    </row>
    <row r="29" spans="1:7" x14ac:dyDescent="0.25">
      <c r="E29" t="s">
        <v>1710</v>
      </c>
      <c r="G29" t="s">
        <v>1719</v>
      </c>
    </row>
    <row r="30" spans="1:7" x14ac:dyDescent="0.25">
      <c r="E30" t="s">
        <v>1711</v>
      </c>
      <c r="G30" t="s">
        <v>1721</v>
      </c>
    </row>
    <row r="31" spans="1:7" x14ac:dyDescent="0.25">
      <c r="E31" t="s">
        <v>1720</v>
      </c>
      <c r="G31" t="s">
        <v>1739</v>
      </c>
    </row>
    <row r="32" spans="1:7" x14ac:dyDescent="0.25">
      <c r="C32" t="s">
        <v>979</v>
      </c>
      <c r="D32" t="s">
        <v>1745</v>
      </c>
      <c r="E32" t="s">
        <v>1568</v>
      </c>
      <c r="G32" t="s">
        <v>1754</v>
      </c>
    </row>
    <row r="33" spans="3:7" x14ac:dyDescent="0.25">
      <c r="E33" t="s">
        <v>1724</v>
      </c>
      <c r="G33" t="s">
        <v>1747</v>
      </c>
    </row>
    <row r="34" spans="3:7" x14ac:dyDescent="0.25">
      <c r="C34" t="s">
        <v>979</v>
      </c>
      <c r="D34" t="s">
        <v>1751</v>
      </c>
      <c r="E34" t="s">
        <v>1725</v>
      </c>
      <c r="G34" t="s">
        <v>1746</v>
      </c>
    </row>
    <row r="35" spans="3:7" x14ac:dyDescent="0.25">
      <c r="E35" t="s">
        <v>1219</v>
      </c>
      <c r="G35" t="s">
        <v>1755</v>
      </c>
    </row>
    <row r="36" spans="3:7" x14ac:dyDescent="0.25">
      <c r="E36" t="s">
        <v>1724</v>
      </c>
      <c r="G36" t="s">
        <v>1747</v>
      </c>
    </row>
    <row r="37" spans="3:7" x14ac:dyDescent="0.25">
      <c r="E37" t="s">
        <v>1725</v>
      </c>
      <c r="G37" t="s">
        <v>1758</v>
      </c>
    </row>
    <row r="38" spans="3:7" x14ac:dyDescent="0.25">
      <c r="C38" t="s">
        <v>979</v>
      </c>
      <c r="D38" t="s">
        <v>1752</v>
      </c>
      <c r="E38" t="s">
        <v>1341</v>
      </c>
      <c r="G38" t="s">
        <v>1756</v>
      </c>
    </row>
    <row r="39" spans="3:7" x14ac:dyDescent="0.25">
      <c r="E39" t="s">
        <v>1724</v>
      </c>
      <c r="G39" t="s">
        <v>1747</v>
      </c>
    </row>
    <row r="40" spans="3:7" x14ac:dyDescent="0.25">
      <c r="E40" t="s">
        <v>1725</v>
      </c>
      <c r="G40" t="s">
        <v>1758</v>
      </c>
    </row>
    <row r="41" spans="3:7" x14ac:dyDescent="0.25">
      <c r="C41" t="s">
        <v>979</v>
      </c>
      <c r="D41" t="s">
        <v>1753</v>
      </c>
      <c r="E41" t="s">
        <v>1349</v>
      </c>
      <c r="G41" t="s">
        <v>1757</v>
      </c>
    </row>
    <row r="42" spans="3:7" x14ac:dyDescent="0.25">
      <c r="E42" t="s">
        <v>1724</v>
      </c>
      <c r="G42" t="s">
        <v>1747</v>
      </c>
    </row>
    <row r="43" spans="3:7" x14ac:dyDescent="0.25">
      <c r="E43" t="s">
        <v>1725</v>
      </c>
      <c r="G43" t="s">
        <v>1758</v>
      </c>
    </row>
    <row r="44" spans="3:7" x14ac:dyDescent="0.25">
      <c r="C44" t="s">
        <v>1329</v>
      </c>
      <c r="D44" t="s">
        <v>1723</v>
      </c>
      <c r="E44" t="s">
        <v>1724</v>
      </c>
      <c r="G44" t="s">
        <v>1748</v>
      </c>
    </row>
    <row r="45" spans="3:7" x14ac:dyDescent="0.25">
      <c r="E45" t="s">
        <v>1725</v>
      </c>
      <c r="G45" t="s">
        <v>1726</v>
      </c>
    </row>
    <row r="46" spans="3:7" x14ac:dyDescent="0.25">
      <c r="C46" t="s">
        <v>958</v>
      </c>
      <c r="D46" t="s">
        <v>1567</v>
      </c>
      <c r="E46" t="s">
        <v>95</v>
      </c>
      <c r="G46" t="s">
        <v>1733</v>
      </c>
    </row>
    <row r="47" spans="3:7" x14ac:dyDescent="0.25">
      <c r="E47" t="s">
        <v>96</v>
      </c>
      <c r="G47" t="s">
        <v>1734</v>
      </c>
    </row>
    <row r="48" spans="3:7" x14ac:dyDescent="0.25">
      <c r="E48" t="s">
        <v>1728</v>
      </c>
      <c r="G48" t="s">
        <v>1735</v>
      </c>
    </row>
    <row r="49" spans="1:7" x14ac:dyDescent="0.25">
      <c r="E49" t="s">
        <v>1729</v>
      </c>
      <c r="G49" t="s">
        <v>1749</v>
      </c>
    </row>
    <row r="50" spans="1:7" x14ac:dyDescent="0.25">
      <c r="E50" t="s">
        <v>1730</v>
      </c>
      <c r="G50" t="s">
        <v>1737</v>
      </c>
    </row>
    <row r="51" spans="1:7" x14ac:dyDescent="0.25">
      <c r="E51" t="s">
        <v>1731</v>
      </c>
      <c r="G51" t="s">
        <v>1738</v>
      </c>
    </row>
    <row r="52" spans="1:7" x14ac:dyDescent="0.25">
      <c r="E52" t="s">
        <v>289</v>
      </c>
      <c r="G52" t="s">
        <v>1759</v>
      </c>
    </row>
    <row r="53" spans="1:7" s="149" customFormat="1" x14ac:dyDescent="0.25"/>
    <row r="54" spans="1:7" x14ac:dyDescent="0.25">
      <c r="A54" s="150" t="s">
        <v>1646</v>
      </c>
      <c r="C54" t="s">
        <v>992</v>
      </c>
      <c r="D54" t="s">
        <v>1572</v>
      </c>
      <c r="E54" t="s">
        <v>90</v>
      </c>
      <c r="F54" t="s">
        <v>1760</v>
      </c>
      <c r="G54" t="s">
        <v>1761</v>
      </c>
    </row>
    <row r="55" spans="1:7" x14ac:dyDescent="0.25">
      <c r="E55" t="s">
        <v>1762</v>
      </c>
      <c r="G55" t="s">
        <v>1763</v>
      </c>
    </row>
    <row r="56" spans="1:7" x14ac:dyDescent="0.25">
      <c r="C56" t="s">
        <v>992</v>
      </c>
      <c r="D56" t="s">
        <v>1764</v>
      </c>
      <c r="E56" t="s">
        <v>1030</v>
      </c>
    </row>
    <row r="59" spans="1:7" x14ac:dyDescent="0.25">
      <c r="C59" t="s">
        <v>1329</v>
      </c>
      <c r="D59" t="s">
        <v>1723</v>
      </c>
      <c r="E59" t="s">
        <v>1724</v>
      </c>
    </row>
    <row r="60" spans="1:7" x14ac:dyDescent="0.25">
      <c r="E60" t="s">
        <v>1725</v>
      </c>
    </row>
    <row r="61" spans="1:7" x14ac:dyDescent="0.25">
      <c r="C61" t="s">
        <v>958</v>
      </c>
      <c r="D61" t="s">
        <v>1567</v>
      </c>
      <c r="E61" t="s">
        <v>95</v>
      </c>
    </row>
    <row r="62" spans="1:7" x14ac:dyDescent="0.25">
      <c r="E62" t="s">
        <v>96</v>
      </c>
    </row>
    <row r="63" spans="1:7" x14ac:dyDescent="0.25">
      <c r="E63" t="s">
        <v>1728</v>
      </c>
    </row>
    <row r="64" spans="1:7" x14ac:dyDescent="0.25">
      <c r="E64" t="s">
        <v>1729</v>
      </c>
    </row>
    <row r="65" spans="5:5" x14ac:dyDescent="0.25">
      <c r="E65" t="s">
        <v>1730</v>
      </c>
    </row>
    <row r="66" spans="5:5" x14ac:dyDescent="0.25">
      <c r="E66" t="s">
        <v>1731</v>
      </c>
    </row>
    <row r="67" spans="5:5" x14ac:dyDescent="0.25">
      <c r="E67" t="s">
        <v>289</v>
      </c>
    </row>
    <row r="83" spans="1:2" x14ac:dyDescent="0.25">
      <c r="A83" s="150" t="s">
        <v>1645</v>
      </c>
    </row>
    <row r="84" spans="1:2" x14ac:dyDescent="0.25">
      <c r="A84" s="150" t="s">
        <v>1639</v>
      </c>
    </row>
    <row r="85" spans="1:2" x14ac:dyDescent="0.25">
      <c r="A85" s="150" t="s">
        <v>1640</v>
      </c>
    </row>
    <row r="86" spans="1:2" x14ac:dyDescent="0.25">
      <c r="A86" s="150" t="s">
        <v>1641</v>
      </c>
    </row>
    <row r="87" spans="1:2" x14ac:dyDescent="0.25">
      <c r="A87" s="150" t="s">
        <v>1642</v>
      </c>
    </row>
    <row r="88" spans="1:2" x14ac:dyDescent="0.25">
      <c r="A88" t="s">
        <v>1643</v>
      </c>
    </row>
    <row r="89" spans="1:2" x14ac:dyDescent="0.25">
      <c r="A89" t="s">
        <v>997</v>
      </c>
    </row>
    <row r="90" spans="1:2" x14ac:dyDescent="0.25">
      <c r="B90" t="s">
        <v>1655</v>
      </c>
    </row>
    <row r="91" spans="1:2" x14ac:dyDescent="0.25">
      <c r="B91" t="s">
        <v>1177</v>
      </c>
    </row>
    <row r="92" spans="1:2" x14ac:dyDescent="0.25">
      <c r="B92" t="s">
        <v>1656</v>
      </c>
    </row>
    <row r="93" spans="1:2" x14ac:dyDescent="0.25">
      <c r="B93" t="s">
        <v>1657</v>
      </c>
    </row>
    <row r="94" spans="1:2" x14ac:dyDescent="0.25">
      <c r="A94" s="150" t="s">
        <v>1665</v>
      </c>
    </row>
    <row r="95" spans="1:2" x14ac:dyDescent="0.25">
      <c r="A95" s="150" t="s">
        <v>1677</v>
      </c>
    </row>
    <row r="96" spans="1:2" x14ac:dyDescent="0.25">
      <c r="A96" t="s">
        <v>1681</v>
      </c>
    </row>
    <row r="97" spans="2:2" x14ac:dyDescent="0.25">
      <c r="B97" t="s">
        <v>1684</v>
      </c>
    </row>
    <row r="98" spans="2:2" x14ac:dyDescent="0.25">
      <c r="B98" t="s">
        <v>1656</v>
      </c>
    </row>
    <row r="99" spans="2:2" x14ac:dyDescent="0.25">
      <c r="B99" t="s">
        <v>1685</v>
      </c>
    </row>
    <row r="130" spans="1:8" ht="409.5" x14ac:dyDescent="0.25">
      <c r="A130" t="s">
        <v>1716</v>
      </c>
      <c r="E130" t="s">
        <v>1732</v>
      </c>
      <c r="G130" t="s">
        <v>1750</v>
      </c>
      <c r="H130" s="93" t="s">
        <v>1722</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
  <sheetViews>
    <sheetView workbookViewId="0">
      <selection activeCell="A3" sqref="A3"/>
    </sheetView>
  </sheetViews>
  <sheetFormatPr defaultRowHeight="15" x14ac:dyDescent="0.25"/>
  <sheetData>
    <row r="1" spans="1:1" x14ac:dyDescent="0.25">
      <c r="A1" t="s">
        <v>1635</v>
      </c>
    </row>
    <row r="2" spans="1:1" x14ac:dyDescent="0.25">
      <c r="A2" t="s">
        <v>1653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
  <sheetViews>
    <sheetView workbookViewId="0"/>
  </sheetViews>
  <sheetFormatPr defaultRowHeight="15" x14ac:dyDescent="0.25"/>
  <cols>
    <col min="1" max="1" width="24" bestFit="1" customWidth="1"/>
  </cols>
  <sheetData>
    <row r="1" spans="1:7" x14ac:dyDescent="0.25">
      <c r="B1" t="s">
        <v>1416</v>
      </c>
      <c r="C1" t="s">
        <v>1417</v>
      </c>
      <c r="D1" t="s">
        <v>1418</v>
      </c>
      <c r="E1" t="s">
        <v>1419</v>
      </c>
      <c r="F1" t="s">
        <v>1420</v>
      </c>
      <c r="G1" t="s">
        <v>1421</v>
      </c>
    </row>
    <row r="2" spans="1:7" x14ac:dyDescent="0.25">
      <c r="B2" t="s">
        <v>1410</v>
      </c>
      <c r="C2" t="s">
        <v>1411</v>
      </c>
      <c r="D2" t="s">
        <v>1412</v>
      </c>
      <c r="E2" t="s">
        <v>1413</v>
      </c>
      <c r="F2" t="s">
        <v>1414</v>
      </c>
      <c r="G2" t="s">
        <v>1415</v>
      </c>
    </row>
    <row r="3" spans="1:7" x14ac:dyDescent="0.25">
      <c r="A3" t="s">
        <v>1405</v>
      </c>
      <c r="B3" s="153" t="s">
        <v>2</v>
      </c>
    </row>
    <row r="4" spans="1:7" x14ac:dyDescent="0.25">
      <c r="A4" t="s">
        <v>1406</v>
      </c>
      <c r="B4" s="154"/>
    </row>
    <row r="5" spans="1:7" x14ac:dyDescent="0.25">
      <c r="A5" t="s">
        <v>1407</v>
      </c>
      <c r="B5" s="154"/>
    </row>
    <row r="6" spans="1:7" x14ac:dyDescent="0.25">
      <c r="A6" t="s">
        <v>1408</v>
      </c>
      <c r="B6" s="154"/>
    </row>
    <row r="7" spans="1:7" x14ac:dyDescent="0.25">
      <c r="A7" t="s">
        <v>1409</v>
      </c>
      <c r="B7" s="155"/>
    </row>
  </sheetData>
  <mergeCells count="1">
    <mergeCell ref="B3:B7"/>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3"/>
  <sheetViews>
    <sheetView workbookViewId="0"/>
  </sheetViews>
  <sheetFormatPr defaultRowHeight="15" x14ac:dyDescent="0.25"/>
  <cols>
    <col min="3" max="3" width="23.42578125" bestFit="1" customWidth="1"/>
    <col min="4" max="5" width="10.5703125" bestFit="1" customWidth="1"/>
    <col min="9" max="9" width="25.140625" customWidth="1"/>
    <col min="10" max="11" width="10.5703125" bestFit="1" customWidth="1"/>
  </cols>
  <sheetData>
    <row r="1" spans="1:12" x14ac:dyDescent="0.25">
      <c r="A1" t="s">
        <v>1223</v>
      </c>
    </row>
    <row r="2" spans="1:12" x14ac:dyDescent="0.25">
      <c r="I2" t="s">
        <v>1234</v>
      </c>
      <c r="J2" s="119">
        <v>1000</v>
      </c>
    </row>
    <row r="3" spans="1:12" x14ac:dyDescent="0.25">
      <c r="I3" t="s">
        <v>1235</v>
      </c>
      <c r="J3" s="119">
        <f>J2*K3</f>
        <v>160</v>
      </c>
      <c r="K3" s="118">
        <v>0.16</v>
      </c>
    </row>
    <row r="4" spans="1:12" ht="30" x14ac:dyDescent="0.25">
      <c r="I4" s="93" t="s">
        <v>1236</v>
      </c>
      <c r="J4" s="119">
        <v>200</v>
      </c>
    </row>
    <row r="5" spans="1:12" x14ac:dyDescent="0.25">
      <c r="D5" t="s">
        <v>1219</v>
      </c>
      <c r="E5" t="s">
        <v>1220</v>
      </c>
      <c r="I5" t="s">
        <v>1243</v>
      </c>
      <c r="J5" s="119">
        <f>J4*K5</f>
        <v>16</v>
      </c>
      <c r="K5" s="118">
        <v>0.08</v>
      </c>
    </row>
    <row r="6" spans="1:12" x14ac:dyDescent="0.25">
      <c r="B6" t="s">
        <v>94</v>
      </c>
      <c r="I6" t="s">
        <v>1240</v>
      </c>
      <c r="J6" s="119">
        <f>J2+J3+(J4*K5)</f>
        <v>1176</v>
      </c>
    </row>
    <row r="7" spans="1:12" x14ac:dyDescent="0.25">
      <c r="C7" t="s">
        <v>977</v>
      </c>
      <c r="F7">
        <f>D9-E7</f>
        <v>1305.9992</v>
      </c>
    </row>
    <row r="8" spans="1:12" x14ac:dyDescent="0.25">
      <c r="C8" t="s">
        <v>984</v>
      </c>
      <c r="D8" s="120"/>
      <c r="F8">
        <f>D8-E8</f>
        <v>0</v>
      </c>
      <c r="I8" t="s">
        <v>1238</v>
      </c>
    </row>
    <row r="9" spans="1:12" x14ac:dyDescent="0.25">
      <c r="C9" t="s">
        <v>1232</v>
      </c>
      <c r="D9" s="120">
        <f>J2+J3+J5+J10+K10+J9</f>
        <v>1305.9992</v>
      </c>
      <c r="F9" t="e">
        <f>#REF!-#REF!</f>
        <v>#REF!</v>
      </c>
      <c r="I9" t="s">
        <v>778</v>
      </c>
      <c r="J9" s="119">
        <v>120</v>
      </c>
    </row>
    <row r="10" spans="1:12" x14ac:dyDescent="0.25">
      <c r="B10" t="s">
        <v>1224</v>
      </c>
      <c r="I10" t="s">
        <v>1239</v>
      </c>
      <c r="J10" s="119">
        <v>8.6199999999999992</v>
      </c>
      <c r="K10" s="120">
        <f>J10*K3</f>
        <v>1.3792</v>
      </c>
      <c r="L10" s="120">
        <f>SUM(J10:K10)</f>
        <v>9.9991999999999983</v>
      </c>
    </row>
    <row r="11" spans="1:12" x14ac:dyDescent="0.25">
      <c r="C11" t="s">
        <v>1227</v>
      </c>
      <c r="E11" s="120">
        <f>J3+K10</f>
        <v>161.3792</v>
      </c>
      <c r="F11">
        <f>D11-E11</f>
        <v>-161.3792</v>
      </c>
    </row>
    <row r="12" spans="1:12" x14ac:dyDescent="0.25">
      <c r="C12" t="s">
        <v>1228</v>
      </c>
      <c r="F12">
        <f>D12-E12</f>
        <v>0</v>
      </c>
      <c r="I12" t="s">
        <v>1241</v>
      </c>
      <c r="J12" s="120">
        <f>J6+J9+J10+K10</f>
        <v>1305.9992</v>
      </c>
    </row>
    <row r="13" spans="1:12" x14ac:dyDescent="0.25">
      <c r="C13" t="s">
        <v>1229</v>
      </c>
      <c r="E13" s="120">
        <f>J5</f>
        <v>16</v>
      </c>
      <c r="F13">
        <f>D13-E13</f>
        <v>-16</v>
      </c>
    </row>
    <row r="14" spans="1:12" x14ac:dyDescent="0.25">
      <c r="C14" t="s">
        <v>1230</v>
      </c>
      <c r="F14">
        <f>D14-E14</f>
        <v>0</v>
      </c>
      <c r="I14" t="s">
        <v>993</v>
      </c>
      <c r="K14" t="s">
        <v>1221</v>
      </c>
    </row>
    <row r="15" spans="1:12" x14ac:dyDescent="0.25">
      <c r="C15" t="s">
        <v>1231</v>
      </c>
      <c r="E15" s="120">
        <f>J9</f>
        <v>120</v>
      </c>
      <c r="F15">
        <f>D15-E15</f>
        <v>-120</v>
      </c>
      <c r="I15" t="s">
        <v>1169</v>
      </c>
      <c r="J15" s="118">
        <v>0</v>
      </c>
      <c r="K15" s="120">
        <f>(J6+J10)*(1-J15)</f>
        <v>1184.6199999999999</v>
      </c>
    </row>
    <row r="16" spans="1:12" x14ac:dyDescent="0.25">
      <c r="B16" t="s">
        <v>1225</v>
      </c>
      <c r="H16" t="s">
        <v>1242</v>
      </c>
      <c r="I16" t="s">
        <v>1237</v>
      </c>
      <c r="J16" s="118">
        <v>0.02</v>
      </c>
      <c r="K16" s="120">
        <f>(J6+J10)*(1-J16)</f>
        <v>1160.9276</v>
      </c>
    </row>
    <row r="17" spans="2:6" x14ac:dyDescent="0.25">
      <c r="C17" t="s">
        <v>1222</v>
      </c>
      <c r="E17" s="120">
        <f>J2+J10</f>
        <v>1008.62</v>
      </c>
      <c r="F17">
        <f>D17-E17</f>
        <v>-1008.62</v>
      </c>
    </row>
    <row r="18" spans="2:6" x14ac:dyDescent="0.25">
      <c r="B18" t="s">
        <v>1226</v>
      </c>
    </row>
    <row r="19" spans="2:6" x14ac:dyDescent="0.25">
      <c r="B19" t="s">
        <v>1124</v>
      </c>
    </row>
    <row r="20" spans="2:6" x14ac:dyDescent="0.25">
      <c r="C20" t="s">
        <v>1233</v>
      </c>
      <c r="D20" s="120">
        <f>D9*J16</f>
        <v>26.119983999999999</v>
      </c>
      <c r="F20">
        <f>D20-E20</f>
        <v>26.119983999999999</v>
      </c>
    </row>
    <row r="21" spans="2:6" x14ac:dyDescent="0.25">
      <c r="D21" s="120">
        <f>SUM(D8:D20)</f>
        <v>1332.1191839999999</v>
      </c>
      <c r="E21" s="120">
        <f>SUM(E7:E20)</f>
        <v>1305.9992</v>
      </c>
    </row>
    <row r="23" spans="2:6" x14ac:dyDescent="0.25">
      <c r="D23" s="120"/>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88"/>
  <sheetViews>
    <sheetView workbookViewId="0"/>
  </sheetViews>
  <sheetFormatPr defaultRowHeight="15" x14ac:dyDescent="0.25"/>
  <cols>
    <col min="1" max="1" width="28.140625" bestFit="1" customWidth="1"/>
    <col min="2" max="2" width="22.5703125" bestFit="1" customWidth="1"/>
    <col min="3" max="3" width="39.28515625" bestFit="1" customWidth="1"/>
    <col min="4" max="4" width="16.140625" customWidth="1"/>
    <col min="5" max="5" width="16.42578125" bestFit="1" customWidth="1"/>
    <col min="6" max="6" width="25.7109375" bestFit="1" customWidth="1"/>
    <col min="7" max="7" width="25.7109375" customWidth="1"/>
    <col min="10" max="10" width="14.28515625" bestFit="1" customWidth="1"/>
  </cols>
  <sheetData>
    <row r="2" spans="1:11" x14ac:dyDescent="0.25">
      <c r="A2" s="70" t="s">
        <v>8</v>
      </c>
      <c r="B2" s="70" t="s">
        <v>586</v>
      </c>
      <c r="C2" s="70" t="s">
        <v>636</v>
      </c>
      <c r="D2" s="70" t="s">
        <v>315</v>
      </c>
      <c r="E2" s="70" t="s">
        <v>480</v>
      </c>
      <c r="F2" s="70" t="s">
        <v>640</v>
      </c>
      <c r="G2" s="70" t="s">
        <v>641</v>
      </c>
      <c r="H2" s="70" t="s">
        <v>670</v>
      </c>
      <c r="I2" s="1"/>
      <c r="J2" s="1"/>
    </row>
    <row r="3" spans="1:11" x14ac:dyDescent="0.25">
      <c r="A3" t="s">
        <v>13</v>
      </c>
      <c r="B3" t="s">
        <v>198</v>
      </c>
      <c r="C3" t="str">
        <f t="array" ref="C3:C10">UI!A38:A45</f>
        <v>Duplicar platillo</v>
      </c>
      <c r="D3" t="e">
        <f>UI!$A$16</f>
        <v>#N/A</v>
      </c>
      <c r="E3" t="str">
        <f t="shared" ref="E3:E10" si="0">CONCATENATE($J$3)</f>
        <v>Administrador</v>
      </c>
      <c r="F3" t="str">
        <f>$J$10</f>
        <v>Presentación</v>
      </c>
      <c r="G3" t="s">
        <v>651</v>
      </c>
      <c r="J3" t="s">
        <v>612</v>
      </c>
      <c r="K3" t="s">
        <v>630</v>
      </c>
    </row>
    <row r="4" spans="1:11" x14ac:dyDescent="0.25">
      <c r="A4" t="s">
        <v>13</v>
      </c>
      <c r="B4" t="s">
        <v>198</v>
      </c>
      <c r="C4" t="str">
        <v>Imprimir Platillo</v>
      </c>
      <c r="D4" t="e">
        <f>UI!$A$16</f>
        <v>#N/A</v>
      </c>
      <c r="E4" t="str">
        <f t="shared" si="0"/>
        <v>Administrador</v>
      </c>
      <c r="F4" t="str">
        <f>$J$10</f>
        <v>Presentación</v>
      </c>
      <c r="G4" t="s">
        <v>648</v>
      </c>
      <c r="J4" t="s">
        <v>613</v>
      </c>
      <c r="K4" t="s">
        <v>635</v>
      </c>
    </row>
    <row r="5" spans="1:11" x14ac:dyDescent="0.25">
      <c r="A5" t="s">
        <v>13</v>
      </c>
      <c r="B5" t="s">
        <v>198</v>
      </c>
      <c r="C5" t="str">
        <v>Limpiar Platillo</v>
      </c>
      <c r="D5" t="e">
        <f>UI!$A$16</f>
        <v>#N/A</v>
      </c>
      <c r="E5" t="str">
        <f t="shared" si="0"/>
        <v>Administrador</v>
      </c>
      <c r="F5" t="str">
        <f>$J$10</f>
        <v>Presentación</v>
      </c>
      <c r="G5" t="s">
        <v>649</v>
      </c>
      <c r="J5" t="s">
        <v>331</v>
      </c>
      <c r="K5" t="s">
        <v>632</v>
      </c>
    </row>
    <row r="6" spans="1:11" x14ac:dyDescent="0.25">
      <c r="A6" t="s">
        <v>13</v>
      </c>
      <c r="B6" t="s">
        <v>198</v>
      </c>
      <c r="C6" t="str">
        <v>Seleccionar Categoría</v>
      </c>
      <c r="D6" t="e">
        <f>UI!$A$16</f>
        <v>#N/A</v>
      </c>
      <c r="E6" t="str">
        <f t="shared" si="0"/>
        <v>Administrador</v>
      </c>
      <c r="F6" t="str">
        <f>$J$11</f>
        <v>Negocio</v>
      </c>
      <c r="G6" t="s">
        <v>642</v>
      </c>
      <c r="H6" t="s">
        <v>672</v>
      </c>
      <c r="J6" t="s">
        <v>614</v>
      </c>
      <c r="K6" t="s">
        <v>633</v>
      </c>
    </row>
    <row r="7" spans="1:11" x14ac:dyDescent="0.25">
      <c r="A7" t="s">
        <v>13</v>
      </c>
      <c r="B7" t="s">
        <v>198</v>
      </c>
      <c r="C7" t="str">
        <v>Seleccionar Ingrediente:</v>
      </c>
      <c r="D7" t="e">
        <f>UI!$A$16</f>
        <v>#N/A</v>
      </c>
      <c r="E7" t="str">
        <f t="shared" si="0"/>
        <v>Administrador</v>
      </c>
      <c r="F7" t="str">
        <f>$J$11</f>
        <v>Negocio</v>
      </c>
      <c r="G7" t="s">
        <v>642</v>
      </c>
      <c r="H7" t="s">
        <v>672</v>
      </c>
      <c r="J7" t="s">
        <v>631</v>
      </c>
      <c r="K7" t="s">
        <v>634</v>
      </c>
    </row>
    <row r="8" spans="1:11" x14ac:dyDescent="0.25">
      <c r="A8" t="s">
        <v>13</v>
      </c>
      <c r="B8" t="s">
        <v>198</v>
      </c>
      <c r="C8" t="str">
        <v>Eliminar Ingrediente</v>
      </c>
      <c r="D8" t="e">
        <f>UI!$A$16</f>
        <v>#N/A</v>
      </c>
      <c r="E8" t="str">
        <f t="shared" si="0"/>
        <v>Administrador</v>
      </c>
      <c r="F8" t="str">
        <f>$J$10</f>
        <v>Presentación</v>
      </c>
      <c r="G8" t="s">
        <v>649</v>
      </c>
    </row>
    <row r="9" spans="1:11" x14ac:dyDescent="0.25">
      <c r="A9" t="s">
        <v>13</v>
      </c>
      <c r="B9" t="s">
        <v>198</v>
      </c>
      <c r="C9" t="str">
        <v>Agregar Nota</v>
      </c>
      <c r="D9" t="e">
        <f>UI!$A$16</f>
        <v>#N/A</v>
      </c>
      <c r="E9" t="str">
        <f t="shared" si="0"/>
        <v>Administrador</v>
      </c>
      <c r="F9" t="s">
        <v>638</v>
      </c>
      <c r="G9" t="s">
        <v>643</v>
      </c>
      <c r="H9" t="s">
        <v>672</v>
      </c>
    </row>
    <row r="10" spans="1:11" x14ac:dyDescent="0.25">
      <c r="A10" t="s">
        <v>13</v>
      </c>
      <c r="B10" t="s">
        <v>198</v>
      </c>
      <c r="C10" t="str">
        <v>Guardar Platillo</v>
      </c>
      <c r="D10" t="e">
        <f>UI!$A$16</f>
        <v>#N/A</v>
      </c>
      <c r="E10" t="str">
        <f t="shared" si="0"/>
        <v>Administrador</v>
      </c>
      <c r="F10" t="str">
        <f>$J$11</f>
        <v>Negocio</v>
      </c>
      <c r="G10" t="s">
        <v>644</v>
      </c>
      <c r="H10" t="s">
        <v>671</v>
      </c>
      <c r="J10" t="s">
        <v>236</v>
      </c>
      <c r="K10" t="s">
        <v>637</v>
      </c>
    </row>
    <row r="11" spans="1:11" x14ac:dyDescent="0.25">
      <c r="A11" t="s">
        <v>13</v>
      </c>
      <c r="B11" t="s">
        <v>198</v>
      </c>
      <c r="C11" t="str">
        <f t="array" ref="C11:C14">UI!A79:A82</f>
        <v>Consultar Platillo</v>
      </c>
      <c r="D11" t="e">
        <f>UI!$A$58</f>
        <v>#N/A</v>
      </c>
      <c r="E11" t="str">
        <f>CONCATENATE($J$3,", ",$J$4)</f>
        <v>Administrador, Mostrador</v>
      </c>
      <c r="F11" t="str">
        <f>$J$11</f>
        <v>Negocio</v>
      </c>
      <c r="G11" t="s">
        <v>642</v>
      </c>
      <c r="H11" t="s">
        <v>671</v>
      </c>
      <c r="J11" t="s">
        <v>638</v>
      </c>
      <c r="K11" t="s">
        <v>639</v>
      </c>
    </row>
    <row r="12" spans="1:11" x14ac:dyDescent="0.25">
      <c r="A12" t="s">
        <v>13</v>
      </c>
      <c r="B12" t="s">
        <v>198</v>
      </c>
      <c r="C12" t="str">
        <v>Crear Platillo</v>
      </c>
      <c r="D12" t="e">
        <f>UI!$A$58</f>
        <v>#N/A</v>
      </c>
      <c r="E12" t="str">
        <f t="shared" ref="E12:E17" si="1">CONCATENATE($J$3)</f>
        <v>Administrador</v>
      </c>
      <c r="F12" t="str">
        <f>$J$10</f>
        <v>Presentación</v>
      </c>
      <c r="G12" t="s">
        <v>650</v>
      </c>
    </row>
    <row r="13" spans="1:11" x14ac:dyDescent="0.25">
      <c r="A13" t="s">
        <v>13</v>
      </c>
      <c r="B13" t="s">
        <v>198</v>
      </c>
      <c r="C13" t="str">
        <v>Eliminar Platillo</v>
      </c>
      <c r="D13" t="e">
        <f>UI!$A$58</f>
        <v>#N/A</v>
      </c>
      <c r="E13" t="str">
        <f t="shared" si="1"/>
        <v>Administrador</v>
      </c>
      <c r="F13" t="str">
        <f t="shared" ref="F13:F31" si="2">$J$11</f>
        <v>Negocio</v>
      </c>
      <c r="G13" t="s">
        <v>645</v>
      </c>
      <c r="H13" t="s">
        <v>671</v>
      </c>
    </row>
    <row r="14" spans="1:11" x14ac:dyDescent="0.25">
      <c r="A14" t="s">
        <v>13</v>
      </c>
      <c r="B14" t="s">
        <v>198</v>
      </c>
      <c r="C14" t="str">
        <v>Ingresar # de platillos a consumir por día</v>
      </c>
      <c r="D14" t="e">
        <f>UI!$A$58</f>
        <v>#N/A</v>
      </c>
      <c r="E14" t="str">
        <f t="shared" si="1"/>
        <v>Administrador</v>
      </c>
      <c r="F14" t="str">
        <f t="shared" si="2"/>
        <v>Negocio</v>
      </c>
      <c r="G14" t="s">
        <v>643</v>
      </c>
      <c r="H14" t="s">
        <v>672</v>
      </c>
    </row>
    <row r="15" spans="1:11" x14ac:dyDescent="0.25">
      <c r="A15" t="s">
        <v>13</v>
      </c>
      <c r="B15" t="s">
        <v>587</v>
      </c>
      <c r="C15" t="str">
        <f t="array" ref="C15:C18">UI!A211:A214</f>
        <v>Agregar Categoría</v>
      </c>
      <c r="D15" t="e">
        <f>UI!$A$205</f>
        <v>#N/A</v>
      </c>
      <c r="E15" t="str">
        <f t="shared" si="1"/>
        <v>Administrador</v>
      </c>
      <c r="F15" t="str">
        <f t="shared" si="2"/>
        <v>Negocio</v>
      </c>
      <c r="G15" t="s">
        <v>644</v>
      </c>
      <c r="H15" t="s">
        <v>671</v>
      </c>
    </row>
    <row r="16" spans="1:11" x14ac:dyDescent="0.25">
      <c r="A16" t="s">
        <v>13</v>
      </c>
      <c r="B16" t="s">
        <v>587</v>
      </c>
      <c r="C16" t="str">
        <v>Eliminar Categoría</v>
      </c>
      <c r="D16" t="e">
        <f>UI!$A$205</f>
        <v>#N/A</v>
      </c>
      <c r="E16" t="str">
        <f t="shared" si="1"/>
        <v>Administrador</v>
      </c>
      <c r="F16" t="str">
        <f t="shared" si="2"/>
        <v>Negocio</v>
      </c>
      <c r="G16" t="s">
        <v>645</v>
      </c>
      <c r="H16" t="s">
        <v>671</v>
      </c>
    </row>
    <row r="17" spans="1:8" x14ac:dyDescent="0.25">
      <c r="A17" t="s">
        <v>13</v>
      </c>
      <c r="B17" t="s">
        <v>587</v>
      </c>
      <c r="C17" t="str">
        <v>Modificar Categoría</v>
      </c>
      <c r="D17" t="e">
        <f>UI!$A$205</f>
        <v>#N/A</v>
      </c>
      <c r="E17" t="str">
        <f t="shared" si="1"/>
        <v>Administrador</v>
      </c>
      <c r="F17" t="str">
        <f t="shared" si="2"/>
        <v>Negocio</v>
      </c>
      <c r="G17" t="s">
        <v>643</v>
      </c>
      <c r="H17" t="s">
        <v>671</v>
      </c>
    </row>
    <row r="18" spans="1:8" x14ac:dyDescent="0.25">
      <c r="A18" t="s">
        <v>13</v>
      </c>
      <c r="B18" t="s">
        <v>587</v>
      </c>
      <c r="C18" t="str">
        <v>Consulta de categorías</v>
      </c>
      <c r="D18" t="e">
        <f>UI!$A$205</f>
        <v>#N/A</v>
      </c>
      <c r="E18" t="str">
        <f>CONCATENATE($J$3,", ",$J$4)</f>
        <v>Administrador, Mostrador</v>
      </c>
      <c r="F18" t="str">
        <f t="shared" si="2"/>
        <v>Negocio</v>
      </c>
      <c r="G18" t="s">
        <v>642</v>
      </c>
      <c r="H18" t="s">
        <v>671</v>
      </c>
    </row>
    <row r="19" spans="1:8" x14ac:dyDescent="0.25">
      <c r="A19" t="s">
        <v>13</v>
      </c>
      <c r="B19" t="s">
        <v>588</v>
      </c>
      <c r="C19" t="str">
        <f>UI!A114</f>
        <v>Carga de Datos</v>
      </c>
      <c r="D19" t="e">
        <f>UI!A97</f>
        <v>#N/A</v>
      </c>
      <c r="E19" t="str">
        <f>CONCATENATE($J$3)</f>
        <v>Administrador</v>
      </c>
      <c r="F19" t="str">
        <f t="shared" si="2"/>
        <v>Negocio</v>
      </c>
      <c r="G19" t="s">
        <v>251</v>
      </c>
    </row>
    <row r="20" spans="1:8" x14ac:dyDescent="0.25">
      <c r="A20" t="s">
        <v>13</v>
      </c>
      <c r="B20" t="s">
        <v>588</v>
      </c>
      <c r="C20" t="str">
        <f t="array" ref="C20:C23">UI!A193:A196</f>
        <v>Agregar Categoría</v>
      </c>
      <c r="D20" t="e">
        <f>UI!$A$187</f>
        <v>#N/A</v>
      </c>
      <c r="E20" t="str">
        <f>CONCATENATE($J$3)</f>
        <v>Administrador</v>
      </c>
      <c r="F20" t="str">
        <f t="shared" si="2"/>
        <v>Negocio</v>
      </c>
      <c r="G20" t="s">
        <v>644</v>
      </c>
      <c r="H20" t="s">
        <v>671</v>
      </c>
    </row>
    <row r="21" spans="1:8" x14ac:dyDescent="0.25">
      <c r="A21" t="s">
        <v>13</v>
      </c>
      <c r="B21" t="s">
        <v>588</v>
      </c>
      <c r="C21" t="str">
        <v>Eliminar Categoría</v>
      </c>
      <c r="D21" t="e">
        <f>UI!$A$187</f>
        <v>#N/A</v>
      </c>
      <c r="E21" t="str">
        <f>CONCATENATE($J$3)</f>
        <v>Administrador</v>
      </c>
      <c r="F21" t="str">
        <f t="shared" si="2"/>
        <v>Negocio</v>
      </c>
      <c r="G21" t="s">
        <v>645</v>
      </c>
      <c r="H21" t="s">
        <v>671</v>
      </c>
    </row>
    <row r="22" spans="1:8" x14ac:dyDescent="0.25">
      <c r="A22" t="s">
        <v>13</v>
      </c>
      <c r="B22" t="s">
        <v>588</v>
      </c>
      <c r="C22" t="str">
        <v>Modificar Categoría</v>
      </c>
      <c r="D22" t="e">
        <f>UI!$A$187</f>
        <v>#N/A</v>
      </c>
      <c r="E22" t="str">
        <f>CONCATENATE($J$3)</f>
        <v>Administrador</v>
      </c>
      <c r="F22" t="str">
        <f t="shared" si="2"/>
        <v>Negocio</v>
      </c>
      <c r="G22" t="s">
        <v>643</v>
      </c>
      <c r="H22" t="s">
        <v>671</v>
      </c>
    </row>
    <row r="23" spans="1:8" x14ac:dyDescent="0.25">
      <c r="A23" t="s">
        <v>13</v>
      </c>
      <c r="B23" t="s">
        <v>588</v>
      </c>
      <c r="C23" t="str">
        <v>Consulta de categorías</v>
      </c>
      <c r="D23" t="e">
        <f>UI!$A$187</f>
        <v>#N/A</v>
      </c>
      <c r="E23" t="str">
        <f>CONCATENATE($J$3,", ",$J$4)</f>
        <v>Administrador, Mostrador</v>
      </c>
      <c r="F23" t="str">
        <f t="shared" si="2"/>
        <v>Negocio</v>
      </c>
      <c r="G23" t="s">
        <v>642</v>
      </c>
      <c r="H23" t="s">
        <v>671</v>
      </c>
    </row>
    <row r="24" spans="1:8" x14ac:dyDescent="0.25">
      <c r="A24" t="s">
        <v>13</v>
      </c>
      <c r="B24" t="s">
        <v>588</v>
      </c>
      <c r="C24" t="str">
        <f t="array" ref="C24:C27">UI!A303:A306</f>
        <v>Agregar Mercancía</v>
      </c>
      <c r="D24" t="e">
        <f>UI!$A$288</f>
        <v>#N/A</v>
      </c>
      <c r="E24" t="str">
        <f>CONCATENATE($J$3)</f>
        <v>Administrador</v>
      </c>
      <c r="F24" t="str">
        <f t="shared" si="2"/>
        <v>Negocio</v>
      </c>
      <c r="G24" t="s">
        <v>644</v>
      </c>
      <c r="H24" t="s">
        <v>671</v>
      </c>
    </row>
    <row r="25" spans="1:8" x14ac:dyDescent="0.25">
      <c r="A25" t="s">
        <v>13</v>
      </c>
      <c r="B25" t="s">
        <v>588</v>
      </c>
      <c r="C25" t="str">
        <v>Eliminar Mercancía</v>
      </c>
      <c r="D25" t="e">
        <f>UI!$A$288</f>
        <v>#N/A</v>
      </c>
      <c r="E25" t="str">
        <f>CONCATENATE($J$3)</f>
        <v>Administrador</v>
      </c>
      <c r="F25" t="str">
        <f t="shared" si="2"/>
        <v>Negocio</v>
      </c>
      <c r="G25" t="s">
        <v>645</v>
      </c>
      <c r="H25" t="s">
        <v>671</v>
      </c>
    </row>
    <row r="26" spans="1:8" x14ac:dyDescent="0.25">
      <c r="A26" t="s">
        <v>13</v>
      </c>
      <c r="B26" t="s">
        <v>588</v>
      </c>
      <c r="C26" t="str">
        <v>Modificar Mercancía</v>
      </c>
      <c r="D26" t="e">
        <f>UI!$A$288</f>
        <v>#N/A</v>
      </c>
      <c r="E26" t="str">
        <f>CONCATENATE($J$3)</f>
        <v>Administrador</v>
      </c>
      <c r="F26" t="str">
        <f t="shared" si="2"/>
        <v>Negocio</v>
      </c>
      <c r="G26" t="s">
        <v>643</v>
      </c>
      <c r="H26" t="s">
        <v>671</v>
      </c>
    </row>
    <row r="27" spans="1:8" x14ac:dyDescent="0.25">
      <c r="A27" t="s">
        <v>13</v>
      </c>
      <c r="B27" t="s">
        <v>588</v>
      </c>
      <c r="C27" t="str">
        <v>Consultar Mercancía</v>
      </c>
      <c r="D27" t="e">
        <f>UI!$A$288</f>
        <v>#N/A</v>
      </c>
      <c r="E27" t="str">
        <f>CONCATENATE($J$3,", ",$J$4)</f>
        <v>Administrador, Mostrador</v>
      </c>
      <c r="F27" t="str">
        <f t="shared" si="2"/>
        <v>Negocio</v>
      </c>
      <c r="G27" t="s">
        <v>642</v>
      </c>
      <c r="H27" t="s">
        <v>671</v>
      </c>
    </row>
    <row r="28" spans="1:8" x14ac:dyDescent="0.25">
      <c r="A28" t="s">
        <v>13</v>
      </c>
      <c r="B28" t="s">
        <v>589</v>
      </c>
      <c r="C28" t="str">
        <f t="array" ref="C28:C31">UI!A193:A196</f>
        <v>Agregar Categoría</v>
      </c>
      <c r="D28" t="e">
        <f>UI!$A$187</f>
        <v>#N/A</v>
      </c>
      <c r="E28" t="str">
        <f>CONCATENATE($J$3)</f>
        <v>Administrador</v>
      </c>
      <c r="F28" t="str">
        <f t="shared" si="2"/>
        <v>Negocio</v>
      </c>
      <c r="G28" t="s">
        <v>644</v>
      </c>
      <c r="H28" t="s">
        <v>671</v>
      </c>
    </row>
    <row r="29" spans="1:8" x14ac:dyDescent="0.25">
      <c r="A29" t="s">
        <v>13</v>
      </c>
      <c r="B29" t="s">
        <v>589</v>
      </c>
      <c r="C29" t="str">
        <v>Eliminar Categoría</v>
      </c>
      <c r="D29" t="e">
        <f>UI!$A$187</f>
        <v>#N/A</v>
      </c>
      <c r="E29" t="str">
        <f>CONCATENATE($J$3)</f>
        <v>Administrador</v>
      </c>
      <c r="F29" t="str">
        <f t="shared" si="2"/>
        <v>Negocio</v>
      </c>
      <c r="G29" t="s">
        <v>645</v>
      </c>
      <c r="H29" t="s">
        <v>671</v>
      </c>
    </row>
    <row r="30" spans="1:8" x14ac:dyDescent="0.25">
      <c r="A30" t="s">
        <v>13</v>
      </c>
      <c r="B30" t="s">
        <v>589</v>
      </c>
      <c r="C30" t="str">
        <v>Modificar Categoría</v>
      </c>
      <c r="D30" t="e">
        <f>UI!$A$187</f>
        <v>#N/A</v>
      </c>
      <c r="E30" t="str">
        <f>CONCATENATE($J$3)</f>
        <v>Administrador</v>
      </c>
      <c r="F30" t="str">
        <f t="shared" si="2"/>
        <v>Negocio</v>
      </c>
      <c r="G30" t="s">
        <v>643</v>
      </c>
      <c r="H30" t="s">
        <v>671</v>
      </c>
    </row>
    <row r="31" spans="1:8" x14ac:dyDescent="0.25">
      <c r="A31" t="s">
        <v>13</v>
      </c>
      <c r="B31" t="s">
        <v>589</v>
      </c>
      <c r="C31" t="str">
        <v>Consulta de categorías</v>
      </c>
      <c r="D31" t="e">
        <f>UI!$A$187</f>
        <v>#N/A</v>
      </c>
      <c r="E31" t="str">
        <f t="shared" ref="E31:E43" si="3">CONCATENATE($J$4)</f>
        <v>Mostrador</v>
      </c>
      <c r="F31" t="str">
        <f t="shared" si="2"/>
        <v>Negocio</v>
      </c>
      <c r="G31" t="s">
        <v>642</v>
      </c>
      <c r="H31" t="s">
        <v>671</v>
      </c>
    </row>
    <row r="32" spans="1:8" x14ac:dyDescent="0.25">
      <c r="A32" t="s">
        <v>13</v>
      </c>
      <c r="B32" t="s">
        <v>590</v>
      </c>
      <c r="C32" t="str">
        <f t="array" ref="C32:C40">UI!A148:A156</f>
        <v>Duplicar órden</v>
      </c>
      <c r="D32" t="e">
        <f>UI!$A$131</f>
        <v>#N/A</v>
      </c>
      <c r="E32" t="str">
        <f t="shared" si="3"/>
        <v>Mostrador</v>
      </c>
      <c r="F32" t="str">
        <f>$J$10</f>
        <v>Presentación</v>
      </c>
      <c r="G32" t="s">
        <v>651</v>
      </c>
    </row>
    <row r="33" spans="1:8" x14ac:dyDescent="0.25">
      <c r="A33" t="s">
        <v>13</v>
      </c>
      <c r="B33" t="s">
        <v>590</v>
      </c>
      <c r="C33" t="str">
        <v>Imprimir órden</v>
      </c>
      <c r="D33" t="e">
        <f>UI!$A$131</f>
        <v>#N/A</v>
      </c>
      <c r="E33" t="str">
        <f t="shared" si="3"/>
        <v>Mostrador</v>
      </c>
      <c r="F33" t="str">
        <f>$J$10</f>
        <v>Presentación</v>
      </c>
      <c r="G33" t="s">
        <v>648</v>
      </c>
    </row>
    <row r="34" spans="1:8" x14ac:dyDescent="0.25">
      <c r="A34" t="s">
        <v>13</v>
      </c>
      <c r="B34" t="s">
        <v>590</v>
      </c>
      <c r="C34" t="str">
        <v>Limpiar órden</v>
      </c>
      <c r="D34" t="e">
        <f>UI!$A$131</f>
        <v>#N/A</v>
      </c>
      <c r="E34" t="str">
        <f t="shared" si="3"/>
        <v>Mostrador</v>
      </c>
      <c r="F34" t="str">
        <f>$J$10</f>
        <v>Presentación</v>
      </c>
      <c r="G34" t="s">
        <v>649</v>
      </c>
    </row>
    <row r="35" spans="1:8" x14ac:dyDescent="0.25">
      <c r="A35" t="s">
        <v>13</v>
      </c>
      <c r="B35" t="s">
        <v>590</v>
      </c>
      <c r="C35" t="str">
        <v>Seleccionar Categoría</v>
      </c>
      <c r="D35" t="e">
        <f>UI!$A$131</f>
        <v>#N/A</v>
      </c>
      <c r="E35" t="str">
        <f t="shared" si="3"/>
        <v>Mostrador</v>
      </c>
      <c r="F35" t="str">
        <f>$J$11</f>
        <v>Negocio</v>
      </c>
      <c r="G35" t="s">
        <v>642</v>
      </c>
      <c r="H35" t="s">
        <v>672</v>
      </c>
    </row>
    <row r="36" spans="1:8" x14ac:dyDescent="0.25">
      <c r="A36" t="s">
        <v>13</v>
      </c>
      <c r="B36" t="s">
        <v>590</v>
      </c>
      <c r="C36" t="str">
        <v>Seleccionar Platillo:</v>
      </c>
      <c r="D36" t="e">
        <f>UI!$A$131</f>
        <v>#N/A</v>
      </c>
      <c r="E36" t="str">
        <f t="shared" si="3"/>
        <v>Mostrador</v>
      </c>
      <c r="F36" t="str">
        <f>$J$11</f>
        <v>Negocio</v>
      </c>
      <c r="G36" t="s">
        <v>642</v>
      </c>
      <c r="H36" t="s">
        <v>671</v>
      </c>
    </row>
    <row r="37" spans="1:8" x14ac:dyDescent="0.25">
      <c r="A37" t="s">
        <v>13</v>
      </c>
      <c r="B37" t="s">
        <v>590</v>
      </c>
      <c r="C37" t="str">
        <v>Eliminar Platillo</v>
      </c>
      <c r="D37" t="e">
        <f>UI!$A$131</f>
        <v>#N/A</v>
      </c>
      <c r="E37" t="str">
        <f t="shared" si="3"/>
        <v>Mostrador</v>
      </c>
      <c r="F37" t="str">
        <f>$J$10</f>
        <v>Presentación</v>
      </c>
      <c r="G37" t="s">
        <v>649</v>
      </c>
    </row>
    <row r="38" spans="1:8" x14ac:dyDescent="0.25">
      <c r="A38" t="s">
        <v>13</v>
      </c>
      <c r="B38" t="s">
        <v>590</v>
      </c>
      <c r="C38" t="str">
        <v>Agregar Nota</v>
      </c>
      <c r="D38" t="e">
        <f>UI!$A$131</f>
        <v>#N/A</v>
      </c>
      <c r="E38" t="str">
        <f t="shared" si="3"/>
        <v>Mostrador</v>
      </c>
      <c r="F38" t="s">
        <v>638</v>
      </c>
      <c r="G38" t="s">
        <v>643</v>
      </c>
      <c r="H38" t="s">
        <v>672</v>
      </c>
    </row>
    <row r="39" spans="1:8" x14ac:dyDescent="0.25">
      <c r="A39" t="s">
        <v>13</v>
      </c>
      <c r="B39" t="s">
        <v>590</v>
      </c>
      <c r="C39" t="str">
        <v>Guardar Información de la Orden</v>
      </c>
      <c r="D39" t="e">
        <f>UI!$A$131</f>
        <v>#N/A</v>
      </c>
      <c r="E39" t="str">
        <f t="shared" si="3"/>
        <v>Mostrador</v>
      </c>
      <c r="F39" t="str">
        <f>$J$11</f>
        <v>Negocio</v>
      </c>
      <c r="G39" t="s">
        <v>647</v>
      </c>
    </row>
    <row r="40" spans="1:8" x14ac:dyDescent="0.25">
      <c r="A40" t="s">
        <v>13</v>
      </c>
      <c r="B40" t="s">
        <v>590</v>
      </c>
      <c r="C40" t="str">
        <v>Cerrar órden</v>
      </c>
      <c r="D40" t="e">
        <f>UI!$A$131</f>
        <v>#N/A</v>
      </c>
      <c r="E40" t="str">
        <f t="shared" si="3"/>
        <v>Mostrador</v>
      </c>
      <c r="F40" t="str">
        <f>$J$11</f>
        <v>Negocio</v>
      </c>
      <c r="G40" t="s">
        <v>647</v>
      </c>
    </row>
    <row r="41" spans="1:8" x14ac:dyDescent="0.25">
      <c r="A41" t="s">
        <v>13</v>
      </c>
      <c r="B41" t="s">
        <v>590</v>
      </c>
      <c r="C41" t="str">
        <f t="array" ref="C41:C43">UI!A176:A178</f>
        <v>Crear órden</v>
      </c>
      <c r="D41" t="e">
        <f>UI!$A$166</f>
        <v>#N/A</v>
      </c>
      <c r="E41" t="str">
        <f t="shared" si="3"/>
        <v>Mostrador</v>
      </c>
      <c r="F41" t="str">
        <f>$J$10</f>
        <v>Presentación</v>
      </c>
      <c r="G41" t="s">
        <v>650</v>
      </c>
    </row>
    <row r="42" spans="1:8" x14ac:dyDescent="0.25">
      <c r="A42" t="s">
        <v>13</v>
      </c>
      <c r="B42" t="s">
        <v>590</v>
      </c>
      <c r="C42" t="str">
        <v>Cancelar órden</v>
      </c>
      <c r="D42" t="e">
        <f>UI!$A$166</f>
        <v>#N/A</v>
      </c>
      <c r="E42" t="str">
        <f t="shared" si="3"/>
        <v>Mostrador</v>
      </c>
      <c r="F42" t="str">
        <f>$J$11</f>
        <v>Negocio</v>
      </c>
      <c r="G42" t="s">
        <v>647</v>
      </c>
    </row>
    <row r="43" spans="1:8" x14ac:dyDescent="0.25">
      <c r="A43" t="s">
        <v>13</v>
      </c>
      <c r="B43" t="s">
        <v>590</v>
      </c>
      <c r="C43" t="str">
        <v>Consulta de órdenes</v>
      </c>
      <c r="D43" t="e">
        <f>UI!$A$166</f>
        <v>#N/A</v>
      </c>
      <c r="E43" t="str">
        <f t="shared" si="3"/>
        <v>Mostrador</v>
      </c>
      <c r="F43" t="str">
        <f>$J$11</f>
        <v>Negocio</v>
      </c>
      <c r="G43" t="s">
        <v>642</v>
      </c>
      <c r="H43" t="s">
        <v>671</v>
      </c>
    </row>
    <row r="44" spans="1:8" x14ac:dyDescent="0.25">
      <c r="A44" t="s">
        <v>9</v>
      </c>
      <c r="B44" t="s">
        <v>460</v>
      </c>
      <c r="C44" t="str">
        <f t="array" ref="C44:C48">UI!A395:A399</f>
        <v>Agregar Proveedor</v>
      </c>
      <c r="D44" t="e">
        <f>UI!$A$383</f>
        <v>#N/A</v>
      </c>
      <c r="E44" t="str">
        <f>CONCATENATE($J$3,", ",$J$6)</f>
        <v>Administrador, Comprador</v>
      </c>
      <c r="F44" t="str">
        <f>$J$11</f>
        <v>Negocio</v>
      </c>
      <c r="G44" t="s">
        <v>644</v>
      </c>
      <c r="H44" t="s">
        <v>671</v>
      </c>
    </row>
    <row r="45" spans="1:8" x14ac:dyDescent="0.25">
      <c r="A45" t="s">
        <v>9</v>
      </c>
      <c r="B45" t="s">
        <v>460</v>
      </c>
      <c r="C45" t="str">
        <v>Eliminar Proveedor</v>
      </c>
      <c r="D45" t="e">
        <f>UI!$A$383</f>
        <v>#N/A</v>
      </c>
      <c r="E45" t="str">
        <f>CONCATENATE($J$3,", ",$J$6)</f>
        <v>Administrador, Comprador</v>
      </c>
      <c r="F45" t="str">
        <f>$J$11</f>
        <v>Negocio</v>
      </c>
      <c r="G45" t="s">
        <v>645</v>
      </c>
      <c r="H45" t="s">
        <v>671</v>
      </c>
    </row>
    <row r="46" spans="1:8" x14ac:dyDescent="0.25">
      <c r="A46" t="s">
        <v>9</v>
      </c>
      <c r="B46" t="s">
        <v>460</v>
      </c>
      <c r="C46" t="str">
        <v>Modificar Proveedor</v>
      </c>
      <c r="D46" t="e">
        <f>UI!$A$383</f>
        <v>#N/A</v>
      </c>
      <c r="E46" t="str">
        <f>CONCATENATE($J$3,", ",$J$6)</f>
        <v>Administrador, Comprador</v>
      </c>
      <c r="F46" t="str">
        <f>$J$11</f>
        <v>Negocio</v>
      </c>
      <c r="G46" t="s">
        <v>643</v>
      </c>
      <c r="H46" t="s">
        <v>671</v>
      </c>
    </row>
    <row r="47" spans="1:8" x14ac:dyDescent="0.25">
      <c r="A47" t="s">
        <v>9</v>
      </c>
      <c r="B47" t="s">
        <v>460</v>
      </c>
      <c r="C47" t="str">
        <v>Asociar Mercancía a Proveedor</v>
      </c>
      <c r="D47" t="e">
        <f>UI!$A$383</f>
        <v>#N/A</v>
      </c>
      <c r="E47" t="str">
        <f>CONCATENATE($J$6)</f>
        <v>Comprador</v>
      </c>
      <c r="F47" t="s">
        <v>638</v>
      </c>
      <c r="G47" t="s">
        <v>642</v>
      </c>
      <c r="H47" t="s">
        <v>671</v>
      </c>
    </row>
    <row r="48" spans="1:8" x14ac:dyDescent="0.25">
      <c r="A48" t="s">
        <v>9</v>
      </c>
      <c r="B48" t="s">
        <v>460</v>
      </c>
      <c r="C48" t="str">
        <v>Consulta de proveedores</v>
      </c>
      <c r="D48" t="e">
        <f>UI!$A$383</f>
        <v>#N/A</v>
      </c>
      <c r="E48" t="str">
        <f>CONCATENATE($J$6)</f>
        <v>Comprador</v>
      </c>
      <c r="F48" t="str">
        <f>$J$11</f>
        <v>Negocio</v>
      </c>
      <c r="G48" t="s">
        <v>642</v>
      </c>
      <c r="H48" t="s">
        <v>671</v>
      </c>
    </row>
    <row r="49" spans="1:8" x14ac:dyDescent="0.25">
      <c r="A49" t="s">
        <v>9</v>
      </c>
      <c r="B49" t="s">
        <v>460</v>
      </c>
      <c r="C49" t="str">
        <f t="array" ref="C49:C51">UI!A417:A419</f>
        <v>Mover un elemento</v>
      </c>
      <c r="D49" t="e">
        <f>UI!$A$408</f>
        <v>#N/A</v>
      </c>
      <c r="E49" t="str">
        <f>CONCATENATE($J$6)</f>
        <v>Comprador</v>
      </c>
      <c r="F49" t="str">
        <f>$J$10</f>
        <v>Presentación</v>
      </c>
      <c r="G49" t="s">
        <v>652</v>
      </c>
    </row>
    <row r="50" spans="1:8" x14ac:dyDescent="0.25">
      <c r="A50" t="s">
        <v>9</v>
      </c>
      <c r="B50" t="s">
        <v>460</v>
      </c>
      <c r="C50" t="str">
        <v>Mover todos los elementos</v>
      </c>
      <c r="D50" t="e">
        <f>UI!$A$408</f>
        <v>#N/A</v>
      </c>
      <c r="E50" t="str">
        <f>CONCATENATE($J$6)</f>
        <v>Comprador</v>
      </c>
      <c r="F50" t="str">
        <f>$J$10</f>
        <v>Presentación</v>
      </c>
      <c r="G50" t="s">
        <v>652</v>
      </c>
    </row>
    <row r="51" spans="1:8" x14ac:dyDescent="0.25">
      <c r="A51" t="s">
        <v>9</v>
      </c>
      <c r="B51" t="s">
        <v>460</v>
      </c>
      <c r="C51" t="str">
        <v>Guardar asociación de mercancía con proveedor</v>
      </c>
      <c r="D51" t="e">
        <f>UI!$A$408</f>
        <v>#N/A</v>
      </c>
      <c r="E51" t="str">
        <f>CONCATENATE($J$6)</f>
        <v>Comprador</v>
      </c>
      <c r="F51" t="str">
        <f>$J$11</f>
        <v>Negocio</v>
      </c>
      <c r="G51" t="s">
        <v>646</v>
      </c>
      <c r="H51" t="s">
        <v>671</v>
      </c>
    </row>
    <row r="52" spans="1:8" x14ac:dyDescent="0.25">
      <c r="A52" t="s">
        <v>12</v>
      </c>
      <c r="B52" t="s">
        <v>591</v>
      </c>
      <c r="C52" t="str">
        <f>UI!$A$602</f>
        <v>Salida mercancías</v>
      </c>
      <c r="D52" t="e">
        <f>UI!$A$585</f>
        <v>#N/A</v>
      </c>
      <c r="E52" t="str">
        <f t="shared" ref="E52:E57" si="4">CONCATENATE($J$5)</f>
        <v>Almacén</v>
      </c>
      <c r="F52" t="str">
        <f>$J$11</f>
        <v>Negocio</v>
      </c>
      <c r="G52" t="s">
        <v>647</v>
      </c>
    </row>
    <row r="53" spans="1:8" x14ac:dyDescent="0.25">
      <c r="A53" t="s">
        <v>11</v>
      </c>
      <c r="B53" t="s">
        <v>374</v>
      </c>
      <c r="C53" t="str">
        <f t="array" ref="C53:C55">UI!A338:A340</f>
        <v>Imprimir consulta de inventario</v>
      </c>
      <c r="D53" t="e">
        <f>UI!$A$317</f>
        <v>#N/A</v>
      </c>
      <c r="E53" t="str">
        <f t="shared" si="4"/>
        <v>Almacén</v>
      </c>
      <c r="F53" t="str">
        <f>$J$10</f>
        <v>Presentación</v>
      </c>
      <c r="G53" t="s">
        <v>648</v>
      </c>
    </row>
    <row r="54" spans="1:8" x14ac:dyDescent="0.25">
      <c r="A54" t="s">
        <v>11</v>
      </c>
      <c r="B54" t="s">
        <v>374</v>
      </c>
      <c r="C54" t="str">
        <v>Realizar inventario físico</v>
      </c>
      <c r="D54" t="e">
        <f>UI!$A$317</f>
        <v>#N/A</v>
      </c>
      <c r="E54" t="str">
        <f t="shared" si="4"/>
        <v>Almacén</v>
      </c>
      <c r="F54" t="str">
        <f t="shared" ref="F54:F70" si="5">$J$11</f>
        <v>Negocio</v>
      </c>
      <c r="G54" t="s">
        <v>647</v>
      </c>
    </row>
    <row r="55" spans="1:8" x14ac:dyDescent="0.25">
      <c r="A55" t="s">
        <v>11</v>
      </c>
      <c r="B55" t="s">
        <v>374</v>
      </c>
      <c r="C55" t="str">
        <v>Consulta de inventarios</v>
      </c>
      <c r="D55" t="e">
        <f>UI!$A$317</f>
        <v>#N/A</v>
      </c>
      <c r="E55" t="str">
        <f t="shared" si="4"/>
        <v>Almacén</v>
      </c>
      <c r="F55" t="str">
        <f t="shared" si="5"/>
        <v>Negocio</v>
      </c>
      <c r="G55" t="s">
        <v>647</v>
      </c>
    </row>
    <row r="56" spans="1:8" x14ac:dyDescent="0.25">
      <c r="A56" t="s">
        <v>11</v>
      </c>
      <c r="B56" t="s">
        <v>374</v>
      </c>
      <c r="C56" t="str">
        <f>UI!$A$575</f>
        <v>Ingresar mercancías</v>
      </c>
      <c r="D56" t="e">
        <f>UI!$A$557</f>
        <v>#N/A</v>
      </c>
      <c r="E56" t="str">
        <f t="shared" si="4"/>
        <v>Almacén</v>
      </c>
      <c r="F56" t="str">
        <f t="shared" si="5"/>
        <v>Negocio</v>
      </c>
      <c r="G56" t="s">
        <v>647</v>
      </c>
    </row>
    <row r="57" spans="1:8" x14ac:dyDescent="0.25">
      <c r="A57" t="s">
        <v>11</v>
      </c>
      <c r="B57" t="s">
        <v>374</v>
      </c>
      <c r="C57" t="str">
        <f>UI!$A$602</f>
        <v>Salida mercancías</v>
      </c>
      <c r="D57" t="e">
        <f>UI!$A$585</f>
        <v>#N/A</v>
      </c>
      <c r="E57" t="str">
        <f t="shared" si="4"/>
        <v>Almacén</v>
      </c>
      <c r="F57" t="str">
        <f t="shared" si="5"/>
        <v>Negocio</v>
      </c>
      <c r="G57" t="s">
        <v>647</v>
      </c>
    </row>
    <row r="58" spans="1:8" x14ac:dyDescent="0.25">
      <c r="A58" t="s">
        <v>11</v>
      </c>
      <c r="B58" t="s">
        <v>347</v>
      </c>
      <c r="C58" t="str">
        <f t="array" ref="C58:C61">UI!A270:A273</f>
        <v>Agregar Localidad</v>
      </c>
      <c r="D58" t="e">
        <f>UI!$A$261</f>
        <v>#N/A</v>
      </c>
      <c r="E58" t="str">
        <f>CONCATENATE($J$3,", ",$J$5)</f>
        <v>Administrador, Almacén</v>
      </c>
      <c r="F58" t="str">
        <f t="shared" si="5"/>
        <v>Negocio</v>
      </c>
      <c r="G58" t="s">
        <v>644</v>
      </c>
      <c r="H58" t="s">
        <v>671</v>
      </c>
    </row>
    <row r="59" spans="1:8" x14ac:dyDescent="0.25">
      <c r="A59" t="s">
        <v>11</v>
      </c>
      <c r="B59" t="s">
        <v>347</v>
      </c>
      <c r="C59" t="str">
        <v>Eliminar Localidad</v>
      </c>
      <c r="D59" t="e">
        <f>UI!$A$261</f>
        <v>#N/A</v>
      </c>
      <c r="E59" t="str">
        <f>CONCATENATE($J$3,", ",$J$5)</f>
        <v>Administrador, Almacén</v>
      </c>
      <c r="F59" t="str">
        <f t="shared" si="5"/>
        <v>Negocio</v>
      </c>
      <c r="G59" t="s">
        <v>645</v>
      </c>
      <c r="H59" t="s">
        <v>671</v>
      </c>
    </row>
    <row r="60" spans="1:8" x14ac:dyDescent="0.25">
      <c r="A60" t="s">
        <v>11</v>
      </c>
      <c r="B60" t="s">
        <v>347</v>
      </c>
      <c r="C60" t="str">
        <v>Modificar Localidad</v>
      </c>
      <c r="D60" t="e">
        <f>UI!$A$261</f>
        <v>#N/A</v>
      </c>
      <c r="E60" t="str">
        <f>CONCATENATE($J$3,", ",$J$5)</f>
        <v>Administrador, Almacén</v>
      </c>
      <c r="F60" t="str">
        <f t="shared" si="5"/>
        <v>Negocio</v>
      </c>
      <c r="G60" t="s">
        <v>643</v>
      </c>
      <c r="H60" t="s">
        <v>671</v>
      </c>
    </row>
    <row r="61" spans="1:8" x14ac:dyDescent="0.25">
      <c r="A61" t="s">
        <v>11</v>
      </c>
      <c r="B61" t="s">
        <v>347</v>
      </c>
      <c r="C61" t="str">
        <v>Consulta de localidades</v>
      </c>
      <c r="D61" t="e">
        <f>UI!$A$261</f>
        <v>#N/A</v>
      </c>
      <c r="E61" t="str">
        <f>CONCATENATE($J$3,", ",$J$5)</f>
        <v>Administrador, Almacén</v>
      </c>
      <c r="F61" t="str">
        <f t="shared" si="5"/>
        <v>Negocio</v>
      </c>
      <c r="G61" t="s">
        <v>642</v>
      </c>
      <c r="H61" t="s">
        <v>671</v>
      </c>
    </row>
    <row r="62" spans="1:8" x14ac:dyDescent="0.25">
      <c r="A62" t="s">
        <v>11</v>
      </c>
      <c r="B62" t="s">
        <v>331</v>
      </c>
      <c r="C62" t="str">
        <f t="array" ref="C62:C65">UI!A249:A252</f>
        <v>Agregar Almacén</v>
      </c>
      <c r="D62" t="e">
        <f>UI!$A$241</f>
        <v>#N/A</v>
      </c>
      <c r="E62" t="str">
        <f>CONCATENATE($J$3)</f>
        <v>Administrador</v>
      </c>
      <c r="F62" t="str">
        <f t="shared" si="5"/>
        <v>Negocio</v>
      </c>
      <c r="G62" t="s">
        <v>644</v>
      </c>
      <c r="H62" t="s">
        <v>671</v>
      </c>
    </row>
    <row r="63" spans="1:8" x14ac:dyDescent="0.25">
      <c r="A63" t="s">
        <v>11</v>
      </c>
      <c r="B63" t="s">
        <v>331</v>
      </c>
      <c r="C63" t="str">
        <v>Eliminar Almacén</v>
      </c>
      <c r="D63" t="e">
        <f>UI!$A$241</f>
        <v>#N/A</v>
      </c>
      <c r="E63" t="str">
        <f>CONCATENATE($J$3)</f>
        <v>Administrador</v>
      </c>
      <c r="F63" t="str">
        <f t="shared" si="5"/>
        <v>Negocio</v>
      </c>
      <c r="G63" t="s">
        <v>645</v>
      </c>
      <c r="H63" t="s">
        <v>671</v>
      </c>
    </row>
    <row r="64" spans="1:8" x14ac:dyDescent="0.25">
      <c r="A64" t="s">
        <v>11</v>
      </c>
      <c r="B64" t="s">
        <v>331</v>
      </c>
      <c r="C64" t="str">
        <v>Modificar Almacén</v>
      </c>
      <c r="D64" t="e">
        <f>UI!$A$241</f>
        <v>#N/A</v>
      </c>
      <c r="E64" t="str">
        <f>CONCATENATE($J$3)</f>
        <v>Administrador</v>
      </c>
      <c r="F64" t="str">
        <f t="shared" si="5"/>
        <v>Negocio</v>
      </c>
      <c r="G64" t="s">
        <v>643</v>
      </c>
      <c r="H64" t="s">
        <v>671</v>
      </c>
    </row>
    <row r="65" spans="1:8" x14ac:dyDescent="0.25">
      <c r="A65" t="s">
        <v>11</v>
      </c>
      <c r="B65" t="s">
        <v>331</v>
      </c>
      <c r="C65" t="str">
        <v>Consulta de almacenes</v>
      </c>
      <c r="D65" t="e">
        <f>UI!$A$241</f>
        <v>#N/A</v>
      </c>
      <c r="E65" t="str">
        <f>CONCATENATE($J$3,", ",$J$5)</f>
        <v>Administrador, Almacén</v>
      </c>
      <c r="F65" t="str">
        <f t="shared" si="5"/>
        <v>Negocio</v>
      </c>
      <c r="G65" t="s">
        <v>642</v>
      </c>
      <c r="H65" t="s">
        <v>671</v>
      </c>
    </row>
    <row r="66" spans="1:8" x14ac:dyDescent="0.25">
      <c r="A66" t="s">
        <v>11</v>
      </c>
      <c r="B66" t="s">
        <v>318</v>
      </c>
      <c r="C66" t="str">
        <f t="array" ref="C66:C69">UI!A229:A232</f>
        <v>Agregar Sucursal</v>
      </c>
      <c r="D66" t="str">
        <f>UI!$A$223</f>
        <v>UI_01_Al_01</v>
      </c>
      <c r="E66" t="str">
        <f>CONCATENATE($J$3)</f>
        <v>Administrador</v>
      </c>
      <c r="F66" t="str">
        <f t="shared" si="5"/>
        <v>Negocio</v>
      </c>
      <c r="G66" t="s">
        <v>644</v>
      </c>
      <c r="H66" t="s">
        <v>671</v>
      </c>
    </row>
    <row r="67" spans="1:8" x14ac:dyDescent="0.25">
      <c r="A67" t="s">
        <v>11</v>
      </c>
      <c r="B67" t="s">
        <v>318</v>
      </c>
      <c r="C67" t="str">
        <v>Eliminar Sucursal</v>
      </c>
      <c r="D67" t="str">
        <f>UI!$A$223</f>
        <v>UI_01_Al_01</v>
      </c>
      <c r="E67" t="str">
        <f>CONCATENATE($J$3)</f>
        <v>Administrador</v>
      </c>
      <c r="F67" t="str">
        <f t="shared" si="5"/>
        <v>Negocio</v>
      </c>
      <c r="G67" t="s">
        <v>645</v>
      </c>
      <c r="H67" t="s">
        <v>671</v>
      </c>
    </row>
    <row r="68" spans="1:8" x14ac:dyDescent="0.25">
      <c r="A68" t="s">
        <v>11</v>
      </c>
      <c r="B68" t="s">
        <v>318</v>
      </c>
      <c r="C68" t="str">
        <v>Modificar Sucursal</v>
      </c>
      <c r="D68" t="str">
        <f>UI!$A$223</f>
        <v>UI_01_Al_01</v>
      </c>
      <c r="E68" t="str">
        <f>CONCATENATE($J$3)</f>
        <v>Administrador</v>
      </c>
      <c r="F68" t="str">
        <f t="shared" si="5"/>
        <v>Negocio</v>
      </c>
      <c r="G68" t="s">
        <v>643</v>
      </c>
      <c r="H68" t="s">
        <v>671</v>
      </c>
    </row>
    <row r="69" spans="1:8" x14ac:dyDescent="0.25">
      <c r="A69" t="s">
        <v>11</v>
      </c>
      <c r="B69" t="s">
        <v>318</v>
      </c>
      <c r="C69" t="str">
        <v>Consulta de sucursales</v>
      </c>
      <c r="D69" t="str">
        <f>UI!$A$223</f>
        <v>UI_01_Al_01</v>
      </c>
      <c r="E69" t="str">
        <f>CONCATENATE($J$3,", ",$J$5)</f>
        <v>Administrador, Almacén</v>
      </c>
      <c r="F69" t="str">
        <f t="shared" si="5"/>
        <v>Negocio</v>
      </c>
      <c r="G69" t="s">
        <v>642</v>
      </c>
      <c r="H69" t="s">
        <v>671</v>
      </c>
    </row>
    <row r="70" spans="1:8" x14ac:dyDescent="0.25">
      <c r="A70" t="s">
        <v>9</v>
      </c>
      <c r="B70" t="s">
        <v>592</v>
      </c>
      <c r="C70" t="str">
        <f>UI!$A$372</f>
        <v>Generar órdenes de compra automáticas</v>
      </c>
      <c r="D70" t="e">
        <f>UI!$A$350</f>
        <v>#N/A</v>
      </c>
      <c r="E70" t="str">
        <f t="shared" ref="E70:E82" si="6">CONCATENATE($J$6)</f>
        <v>Comprador</v>
      </c>
      <c r="F70" t="str">
        <f t="shared" si="5"/>
        <v>Negocio</v>
      </c>
      <c r="G70" t="s">
        <v>647</v>
      </c>
    </row>
    <row r="71" spans="1:8" x14ac:dyDescent="0.25">
      <c r="A71" t="s">
        <v>9</v>
      </c>
      <c r="B71" t="s">
        <v>592</v>
      </c>
      <c r="C71" t="str">
        <f t="array" ref="C71:C79">UI!A449:A457</f>
        <v>Duplicar órden</v>
      </c>
      <c r="D71" t="e">
        <f>UI!$A$431</f>
        <v>#N/A</v>
      </c>
      <c r="E71" t="str">
        <f t="shared" si="6"/>
        <v>Comprador</v>
      </c>
      <c r="F71" t="str">
        <f>$J$10</f>
        <v>Presentación</v>
      </c>
      <c r="G71" t="s">
        <v>651</v>
      </c>
    </row>
    <row r="72" spans="1:8" x14ac:dyDescent="0.25">
      <c r="A72" t="s">
        <v>9</v>
      </c>
      <c r="B72" t="s">
        <v>592</v>
      </c>
      <c r="C72" t="str">
        <v>Imprimir órden</v>
      </c>
      <c r="D72" t="e">
        <f>UI!$A$431</f>
        <v>#N/A</v>
      </c>
      <c r="E72" t="str">
        <f t="shared" si="6"/>
        <v>Comprador</v>
      </c>
      <c r="F72" t="str">
        <f>$J$10</f>
        <v>Presentación</v>
      </c>
      <c r="G72" t="s">
        <v>648</v>
      </c>
    </row>
    <row r="73" spans="1:8" x14ac:dyDescent="0.25">
      <c r="A73" t="s">
        <v>9</v>
      </c>
      <c r="B73" t="s">
        <v>592</v>
      </c>
      <c r="C73" t="str">
        <v>Limpiar órden</v>
      </c>
      <c r="D73" t="e">
        <f>UI!$A$431</f>
        <v>#N/A</v>
      </c>
      <c r="E73" t="str">
        <f t="shared" si="6"/>
        <v>Comprador</v>
      </c>
      <c r="F73" t="str">
        <f>$J$10</f>
        <v>Presentación</v>
      </c>
      <c r="G73" t="s">
        <v>649</v>
      </c>
    </row>
    <row r="74" spans="1:8" x14ac:dyDescent="0.25">
      <c r="A74" t="s">
        <v>9</v>
      </c>
      <c r="B74" t="s">
        <v>592</v>
      </c>
      <c r="C74" t="str">
        <v>Seleccionar Categoría</v>
      </c>
      <c r="D74" t="e">
        <f>UI!$A$431</f>
        <v>#N/A</v>
      </c>
      <c r="E74" t="str">
        <f t="shared" si="6"/>
        <v>Comprador</v>
      </c>
      <c r="F74" t="str">
        <f>$J$11</f>
        <v>Negocio</v>
      </c>
      <c r="G74" t="s">
        <v>642</v>
      </c>
      <c r="H74" t="s">
        <v>672</v>
      </c>
    </row>
    <row r="75" spans="1:8" x14ac:dyDescent="0.25">
      <c r="A75" t="s">
        <v>9</v>
      </c>
      <c r="B75" t="s">
        <v>592</v>
      </c>
      <c r="C75" t="str">
        <v>Seleccionar Mercancías:</v>
      </c>
      <c r="D75" t="e">
        <f>UI!$A$431</f>
        <v>#N/A</v>
      </c>
      <c r="E75" t="str">
        <f t="shared" si="6"/>
        <v>Comprador</v>
      </c>
      <c r="F75" t="str">
        <f>$J$11</f>
        <v>Negocio</v>
      </c>
      <c r="G75" t="s">
        <v>642</v>
      </c>
      <c r="H75" t="s">
        <v>672</v>
      </c>
    </row>
    <row r="76" spans="1:8" x14ac:dyDescent="0.25">
      <c r="A76" t="s">
        <v>9</v>
      </c>
      <c r="B76" t="s">
        <v>592</v>
      </c>
      <c r="C76" t="str">
        <v>Eliminar entrada</v>
      </c>
      <c r="D76" t="e">
        <f>UI!$A$431</f>
        <v>#N/A</v>
      </c>
      <c r="E76" t="str">
        <f t="shared" si="6"/>
        <v>Comprador</v>
      </c>
      <c r="F76" t="str">
        <f>$J$10</f>
        <v>Presentación</v>
      </c>
      <c r="G76" t="s">
        <v>649</v>
      </c>
    </row>
    <row r="77" spans="1:8" x14ac:dyDescent="0.25">
      <c r="A77" t="s">
        <v>9</v>
      </c>
      <c r="B77" t="s">
        <v>592</v>
      </c>
      <c r="C77" t="str">
        <v>Agregar Nota</v>
      </c>
      <c r="D77" t="e">
        <f>UI!$A$431</f>
        <v>#N/A</v>
      </c>
      <c r="E77" t="str">
        <f t="shared" si="6"/>
        <v>Comprador</v>
      </c>
      <c r="F77" t="s">
        <v>638</v>
      </c>
      <c r="G77" t="s">
        <v>643</v>
      </c>
      <c r="H77" t="s">
        <v>672</v>
      </c>
    </row>
    <row r="78" spans="1:8" x14ac:dyDescent="0.25">
      <c r="A78" t="s">
        <v>9</v>
      </c>
      <c r="B78" t="s">
        <v>592</v>
      </c>
      <c r="C78" t="str">
        <v>Guardar órden</v>
      </c>
      <c r="D78" t="e">
        <f>UI!$A$431</f>
        <v>#N/A</v>
      </c>
      <c r="E78" t="str">
        <f t="shared" si="6"/>
        <v>Comprador</v>
      </c>
      <c r="F78" t="str">
        <f>$J$11</f>
        <v>Negocio</v>
      </c>
      <c r="G78" t="s">
        <v>647</v>
      </c>
    </row>
    <row r="79" spans="1:8" x14ac:dyDescent="0.25">
      <c r="A79" t="s">
        <v>9</v>
      </c>
      <c r="B79" t="s">
        <v>592</v>
      </c>
      <c r="C79" t="str">
        <v>Cerrar órden</v>
      </c>
      <c r="D79" t="e">
        <f>UI!$A$431</f>
        <v>#N/A</v>
      </c>
      <c r="E79" t="str">
        <f t="shared" si="6"/>
        <v>Comprador</v>
      </c>
      <c r="F79" t="str">
        <f>$J$11</f>
        <v>Negocio</v>
      </c>
      <c r="G79" t="s">
        <v>647</v>
      </c>
    </row>
    <row r="80" spans="1:8" x14ac:dyDescent="0.25">
      <c r="A80" t="s">
        <v>9</v>
      </c>
      <c r="B80" t="s">
        <v>592</v>
      </c>
      <c r="C80" t="str">
        <f t="array" ref="C80:C82">UI!A482:A484</f>
        <v>Crear órden</v>
      </c>
      <c r="D80" t="e">
        <f>UI!$A$466</f>
        <v>#N/A</v>
      </c>
      <c r="E80" t="str">
        <f t="shared" si="6"/>
        <v>Comprador</v>
      </c>
      <c r="F80" t="str">
        <f>$J$10</f>
        <v>Presentación</v>
      </c>
      <c r="G80" t="s">
        <v>650</v>
      </c>
    </row>
    <row r="81" spans="1:8" x14ac:dyDescent="0.25">
      <c r="A81" t="s">
        <v>9</v>
      </c>
      <c r="B81" t="s">
        <v>592</v>
      </c>
      <c r="C81" t="str">
        <v>Cancelar órden</v>
      </c>
      <c r="D81" t="e">
        <f>UI!$A$466</f>
        <v>#N/A</v>
      </c>
      <c r="E81" t="str">
        <f t="shared" si="6"/>
        <v>Comprador</v>
      </c>
      <c r="F81" t="str">
        <f>$J$11</f>
        <v>Negocio</v>
      </c>
      <c r="G81" t="s">
        <v>647</v>
      </c>
    </row>
    <row r="82" spans="1:8" x14ac:dyDescent="0.25">
      <c r="A82" t="s">
        <v>9</v>
      </c>
      <c r="B82" t="s">
        <v>592</v>
      </c>
      <c r="C82" t="str">
        <v>Consultar órden</v>
      </c>
      <c r="D82" t="e">
        <f>UI!$A$466</f>
        <v>#N/A</v>
      </c>
      <c r="E82" t="str">
        <f t="shared" si="6"/>
        <v>Comprador</v>
      </c>
      <c r="F82" t="str">
        <f>$J$11</f>
        <v>Negocio</v>
      </c>
      <c r="G82" t="s">
        <v>642</v>
      </c>
      <c r="H82" t="s">
        <v>671</v>
      </c>
    </row>
    <row r="83" spans="1:8" x14ac:dyDescent="0.25">
      <c r="A83" t="s">
        <v>39</v>
      </c>
      <c r="B83" t="s">
        <v>593</v>
      </c>
      <c r="C83" t="str">
        <f t="array" ref="C83:C84">UI!A629:A630</f>
        <v>Marcar Entrada como Pagada</v>
      </c>
      <c r="D83" t="str">
        <f>UI!$A$613</f>
        <v>UI_01_Pa_01</v>
      </c>
      <c r="E83" t="str">
        <f>CONCATENATE($J$7)</f>
        <v>CXP</v>
      </c>
      <c r="F83" t="str">
        <f>$J$11</f>
        <v>Negocio</v>
      </c>
      <c r="G83" t="s">
        <v>647</v>
      </c>
    </row>
    <row r="84" spans="1:8" x14ac:dyDescent="0.25">
      <c r="A84" t="s">
        <v>39</v>
      </c>
      <c r="B84" t="s">
        <v>593</v>
      </c>
      <c r="C84" t="str">
        <v>Imprimir Orden de Pago</v>
      </c>
      <c r="D84" t="str">
        <f>UI!$A$613</f>
        <v>UI_01_Pa_01</v>
      </c>
      <c r="E84" t="str">
        <f>CONCATENATE($J$7)</f>
        <v>CXP</v>
      </c>
      <c r="F84" t="str">
        <f>$J$10</f>
        <v>Presentación</v>
      </c>
      <c r="G84" t="s">
        <v>648</v>
      </c>
    </row>
    <row r="85" spans="1:8" x14ac:dyDescent="0.25">
      <c r="A85" t="s">
        <v>12</v>
      </c>
      <c r="B85" t="s">
        <v>594</v>
      </c>
      <c r="C85" t="str">
        <f>UI!$A$575</f>
        <v>Ingresar mercancías</v>
      </c>
      <c r="D85" t="e">
        <f>UI!$A$557</f>
        <v>#N/A</v>
      </c>
      <c r="E85" t="str">
        <f>CONCATENATE($J$5)</f>
        <v>Almacén</v>
      </c>
      <c r="F85" t="str">
        <f>$J$11</f>
        <v>Negocio</v>
      </c>
      <c r="G85" t="s">
        <v>647</v>
      </c>
    </row>
    <row r="86" spans="1:8" x14ac:dyDescent="0.25">
      <c r="A86" t="s">
        <v>10</v>
      </c>
      <c r="B86" t="s">
        <v>595</v>
      </c>
      <c r="C86" t="str">
        <f>UI!$A$509</f>
        <v>Entrar a la órden</v>
      </c>
      <c r="D86" t="e">
        <f>UI!$A$493</f>
        <v>#N/A</v>
      </c>
      <c r="E86" t="str">
        <f>CONCATENATE($J$5)</f>
        <v>Almacén</v>
      </c>
      <c r="F86" t="s">
        <v>638</v>
      </c>
      <c r="G86" t="s">
        <v>642</v>
      </c>
      <c r="H86" t="s">
        <v>671</v>
      </c>
    </row>
    <row r="87" spans="1:8" x14ac:dyDescent="0.25">
      <c r="A87" t="s">
        <v>10</v>
      </c>
      <c r="B87" t="s">
        <v>595</v>
      </c>
      <c r="C87" t="str">
        <f t="array" ref="C87:C88">UI!A541:A542</f>
        <v>Guardar órden</v>
      </c>
      <c r="D87" t="e">
        <f>UI!$A$522</f>
        <v>#N/A</v>
      </c>
      <c r="E87" t="str">
        <f>CONCATENATE($J$5)</f>
        <v>Almacén</v>
      </c>
      <c r="F87" t="str">
        <f>$J$11</f>
        <v>Negocio</v>
      </c>
      <c r="G87" t="s">
        <v>647</v>
      </c>
    </row>
    <row r="88" spans="1:8" x14ac:dyDescent="0.25">
      <c r="A88" t="s">
        <v>10</v>
      </c>
      <c r="B88" t="s">
        <v>595</v>
      </c>
      <c r="C88" t="str">
        <v>Cerrar órden</v>
      </c>
      <c r="D88" t="e">
        <f>UI!$A$522</f>
        <v>#N/A</v>
      </c>
      <c r="E88" t="str">
        <f>CONCATENATE($J$5)</f>
        <v>Almacén</v>
      </c>
      <c r="F88" t="str">
        <f>$J$11</f>
        <v>Negocio</v>
      </c>
      <c r="G88" t="s">
        <v>647</v>
      </c>
    </row>
  </sheetData>
  <autoFilter ref="A2:H88"/>
  <sortState ref="I3:J75">
    <sortCondition ref="J3:J75"/>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H16"/>
  <sheetViews>
    <sheetView workbookViewId="0"/>
  </sheetViews>
  <sheetFormatPr defaultRowHeight="15" x14ac:dyDescent="0.25"/>
  <cols>
    <col min="1" max="1" width="27.5703125" bestFit="1" customWidth="1"/>
    <col min="2" max="2" width="27.5703125" customWidth="1"/>
    <col min="3" max="3" width="34.42578125" customWidth="1"/>
    <col min="4" max="8" width="59.7109375" customWidth="1"/>
  </cols>
  <sheetData>
    <row r="2" spans="1:8" x14ac:dyDescent="0.25">
      <c r="A2" s="64" t="s">
        <v>666</v>
      </c>
      <c r="B2" s="64"/>
      <c r="C2" s="64"/>
      <c r="D2" s="64"/>
      <c r="E2" s="64"/>
      <c r="F2" s="64"/>
      <c r="G2" s="64"/>
      <c r="H2" s="64"/>
    </row>
    <row r="3" spans="1:8" x14ac:dyDescent="0.25">
      <c r="D3" s="26"/>
      <c r="E3" s="64"/>
      <c r="F3" s="64"/>
      <c r="G3" s="64"/>
      <c r="H3" s="64"/>
    </row>
    <row r="4" spans="1:8" x14ac:dyDescent="0.25">
      <c r="A4" s="71" t="s">
        <v>14</v>
      </c>
      <c r="B4" s="71" t="s">
        <v>661</v>
      </c>
      <c r="C4" s="71" t="s">
        <v>660</v>
      </c>
      <c r="D4" s="71" t="s">
        <v>642</v>
      </c>
      <c r="E4" s="71" t="s">
        <v>644</v>
      </c>
      <c r="F4" s="71" t="s">
        <v>653</v>
      </c>
      <c r="G4" s="71" t="s">
        <v>645</v>
      </c>
      <c r="H4" s="71" t="s">
        <v>643</v>
      </c>
    </row>
    <row r="5" spans="1:8" ht="105" x14ac:dyDescent="0.25">
      <c r="A5" s="24" t="s">
        <v>331</v>
      </c>
      <c r="B5" s="24"/>
      <c r="C5" s="24" t="str">
        <f>CONCATENATE(A9,", ",A12)</f>
        <v>Localidad, Sucursal</v>
      </c>
      <c r="D5" s="25" t="s">
        <v>657</v>
      </c>
      <c r="E5" s="25" t="s">
        <v>662</v>
      </c>
      <c r="F5" s="24" t="s">
        <v>654</v>
      </c>
      <c r="G5" s="25" t="s">
        <v>655</v>
      </c>
      <c r="H5" s="25" t="s">
        <v>656</v>
      </c>
    </row>
    <row r="6" spans="1:8" ht="75" x14ac:dyDescent="0.25">
      <c r="A6" s="24" t="s">
        <v>589</v>
      </c>
      <c r="B6" s="24"/>
      <c r="C6" s="24" t="str">
        <f>A8</f>
        <v>Ingrediente/Mercancía</v>
      </c>
      <c r="D6" s="25" t="s">
        <v>658</v>
      </c>
      <c r="E6" s="25" t="s">
        <v>663</v>
      </c>
      <c r="F6" s="24" t="s">
        <v>654</v>
      </c>
      <c r="G6" s="25" t="s">
        <v>655</v>
      </c>
      <c r="H6" s="25" t="s">
        <v>656</v>
      </c>
    </row>
    <row r="7" spans="1:8" ht="75" x14ac:dyDescent="0.25">
      <c r="A7" s="24" t="s">
        <v>587</v>
      </c>
      <c r="B7" s="24"/>
      <c r="C7" s="24" t="str">
        <f>A10</f>
        <v>Platillo</v>
      </c>
      <c r="D7" s="25" t="s">
        <v>658</v>
      </c>
      <c r="E7" s="25" t="s">
        <v>663</v>
      </c>
      <c r="F7" s="24" t="s">
        <v>654</v>
      </c>
      <c r="G7" s="25" t="s">
        <v>655</v>
      </c>
      <c r="H7" s="25" t="s">
        <v>656</v>
      </c>
    </row>
    <row r="8" spans="1:8" ht="105" x14ac:dyDescent="0.25">
      <c r="A8" s="24" t="s">
        <v>588</v>
      </c>
      <c r="B8" s="24"/>
      <c r="C8" s="25" t="str">
        <f>CONCATENATE(A10,", ",A9,",",A6,",",A11)</f>
        <v>Platillo, Localidad,Categoría de Mercancías,Proveedor</v>
      </c>
      <c r="D8" s="25" t="s">
        <v>657</v>
      </c>
      <c r="E8" s="25" t="s">
        <v>664</v>
      </c>
      <c r="F8" s="24" t="s">
        <v>654</v>
      </c>
      <c r="G8" s="25" t="s">
        <v>655</v>
      </c>
      <c r="H8" s="25" t="s">
        <v>656</v>
      </c>
    </row>
    <row r="9" spans="1:8" ht="105" x14ac:dyDescent="0.25">
      <c r="A9" s="24" t="s">
        <v>347</v>
      </c>
      <c r="B9" s="24"/>
      <c r="C9" s="25" t="str">
        <f>CONCATENATE(A8,", ",A5,)</f>
        <v>Ingrediente/Mercancía, Almacén</v>
      </c>
      <c r="D9" s="25" t="s">
        <v>657</v>
      </c>
      <c r="E9" s="25" t="s">
        <v>664</v>
      </c>
      <c r="F9" s="24" t="s">
        <v>654</v>
      </c>
      <c r="G9" s="25" t="s">
        <v>655</v>
      </c>
      <c r="H9" s="25" t="s">
        <v>656</v>
      </c>
    </row>
    <row r="10" spans="1:8" ht="105" x14ac:dyDescent="0.25">
      <c r="A10" s="24" t="s">
        <v>198</v>
      </c>
      <c r="B10" s="24"/>
      <c r="C10" s="24" t="str">
        <f>A7</f>
        <v>Categoría de Platillos</v>
      </c>
      <c r="D10" s="25" t="s">
        <v>657</v>
      </c>
      <c r="E10" s="25" t="s">
        <v>664</v>
      </c>
      <c r="F10" s="24" t="s">
        <v>654</v>
      </c>
      <c r="G10" s="25" t="s">
        <v>655</v>
      </c>
      <c r="H10" s="25" t="s">
        <v>656</v>
      </c>
    </row>
    <row r="11" spans="1:8" ht="75" x14ac:dyDescent="0.25">
      <c r="A11" s="24" t="s">
        <v>460</v>
      </c>
      <c r="B11" s="24"/>
      <c r="C11" s="24" t="str">
        <f>A8</f>
        <v>Ingrediente/Mercancía</v>
      </c>
      <c r="D11" s="25" t="s">
        <v>659</v>
      </c>
      <c r="E11" s="25" t="s">
        <v>665</v>
      </c>
      <c r="F11" s="25" t="s">
        <v>668</v>
      </c>
      <c r="G11" s="25" t="s">
        <v>655</v>
      </c>
      <c r="H11" s="25" t="s">
        <v>656</v>
      </c>
    </row>
    <row r="12" spans="1:8" ht="105" x14ac:dyDescent="0.25">
      <c r="A12" s="24" t="s">
        <v>318</v>
      </c>
      <c r="B12" s="24"/>
      <c r="C12" s="24" t="str">
        <f>A5</f>
        <v>Almacén</v>
      </c>
      <c r="D12" s="25" t="s">
        <v>657</v>
      </c>
      <c r="E12" s="25" t="s">
        <v>664</v>
      </c>
      <c r="F12" s="24" t="s">
        <v>654</v>
      </c>
      <c r="G12" s="25" t="s">
        <v>655</v>
      </c>
      <c r="H12" s="25" t="s">
        <v>656</v>
      </c>
    </row>
    <row r="13" spans="1:8" ht="75" x14ac:dyDescent="0.25">
      <c r="A13" s="24" t="s">
        <v>590</v>
      </c>
      <c r="B13" s="25" t="s">
        <v>675</v>
      </c>
      <c r="C13" s="24"/>
      <c r="D13" s="25" t="s">
        <v>658</v>
      </c>
      <c r="E13" s="24" t="s">
        <v>654</v>
      </c>
      <c r="F13" s="24" t="s">
        <v>654</v>
      </c>
      <c r="G13" s="24" t="s">
        <v>654</v>
      </c>
      <c r="H13" s="25" t="s">
        <v>667</v>
      </c>
    </row>
    <row r="14" spans="1:8" x14ac:dyDescent="0.25">
      <c r="A14" s="24" t="s">
        <v>374</v>
      </c>
      <c r="B14" s="24"/>
      <c r="C14" s="24"/>
      <c r="D14" s="24" t="s">
        <v>654</v>
      </c>
      <c r="E14" s="24" t="s">
        <v>654</v>
      </c>
      <c r="F14" s="24" t="s">
        <v>654</v>
      </c>
      <c r="G14" s="24" t="s">
        <v>654</v>
      </c>
      <c r="H14" s="24" t="s">
        <v>654</v>
      </c>
    </row>
    <row r="15" spans="1:8" ht="105" x14ac:dyDescent="0.25">
      <c r="A15" s="24" t="s">
        <v>592</v>
      </c>
      <c r="B15" s="25" t="s">
        <v>675</v>
      </c>
      <c r="C15" s="24"/>
      <c r="D15" s="25" t="s">
        <v>657</v>
      </c>
      <c r="E15" s="24" t="s">
        <v>654</v>
      </c>
      <c r="F15" s="24" t="s">
        <v>654</v>
      </c>
      <c r="G15" s="24" t="s">
        <v>654</v>
      </c>
      <c r="H15" s="25" t="s">
        <v>669</v>
      </c>
    </row>
    <row r="16" spans="1:8" ht="105" x14ac:dyDescent="0.25">
      <c r="A16" s="24" t="s">
        <v>595</v>
      </c>
      <c r="B16" s="25" t="s">
        <v>677</v>
      </c>
      <c r="C16" s="24"/>
      <c r="D16" s="25" t="s">
        <v>657</v>
      </c>
      <c r="E16" s="24" t="s">
        <v>654</v>
      </c>
      <c r="F16" s="24" t="s">
        <v>654</v>
      </c>
      <c r="G16" s="24" t="s">
        <v>654</v>
      </c>
      <c r="H16" s="24" t="s">
        <v>654</v>
      </c>
    </row>
  </sheetData>
  <sortState ref="A13:A24">
    <sortCondition ref="A13"/>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3"/>
  <sheetViews>
    <sheetView workbookViewId="0"/>
  </sheetViews>
  <sheetFormatPr defaultRowHeight="15" x14ac:dyDescent="0.25"/>
  <cols>
    <col min="2" max="2" width="23.28515625" bestFit="1" customWidth="1"/>
    <col min="3" max="3" width="17.42578125" bestFit="1" customWidth="1"/>
    <col min="6" max="6" width="23" bestFit="1" customWidth="1"/>
    <col min="7" max="7" width="23.28515625" bestFit="1" customWidth="1"/>
    <col min="8" max="9" width="9.7109375" bestFit="1" customWidth="1"/>
  </cols>
  <sheetData>
    <row r="1" spans="1:11" x14ac:dyDescent="0.25">
      <c r="A1" t="s">
        <v>7</v>
      </c>
    </row>
    <row r="2" spans="1:11" x14ac:dyDescent="0.25">
      <c r="A2" t="s">
        <v>0</v>
      </c>
    </row>
    <row r="3" spans="1:11" x14ac:dyDescent="0.25">
      <c r="E3" s="21" t="s">
        <v>143</v>
      </c>
      <c r="F3" s="21"/>
      <c r="G3" s="21"/>
      <c r="H3" s="21"/>
      <c r="I3" s="21"/>
      <c r="J3" s="21"/>
      <c r="K3" s="21"/>
    </row>
    <row r="4" spans="1:11" x14ac:dyDescent="0.25">
      <c r="B4" t="s">
        <v>4</v>
      </c>
      <c r="C4" t="s">
        <v>6</v>
      </c>
      <c r="E4" s="21" t="s">
        <v>480</v>
      </c>
      <c r="F4" s="21" t="s">
        <v>5</v>
      </c>
      <c r="G4" s="21"/>
      <c r="H4" s="21"/>
      <c r="I4" s="21"/>
      <c r="J4" s="21"/>
      <c r="K4" s="21" t="s">
        <v>475</v>
      </c>
    </row>
    <row r="5" spans="1:11" x14ac:dyDescent="0.25">
      <c r="B5" t="s">
        <v>5</v>
      </c>
      <c r="C5" t="s">
        <v>6</v>
      </c>
      <c r="E5" s="21" t="s">
        <v>481</v>
      </c>
      <c r="F5" s="21" t="s">
        <v>474</v>
      </c>
      <c r="G5" s="21"/>
      <c r="H5" s="21"/>
      <c r="I5" s="21"/>
      <c r="J5" s="21"/>
      <c r="K5" s="21" t="s">
        <v>476</v>
      </c>
    </row>
    <row r="6" spans="1:11" x14ac:dyDescent="0.25">
      <c r="B6" t="s">
        <v>3</v>
      </c>
      <c r="C6" t="s">
        <v>6</v>
      </c>
      <c r="E6" s="21"/>
      <c r="F6" s="21" t="s">
        <v>481</v>
      </c>
      <c r="G6" s="21" t="s">
        <v>4</v>
      </c>
      <c r="H6" s="21"/>
      <c r="I6" s="21"/>
      <c r="J6" s="21"/>
      <c r="K6" s="21" t="s">
        <v>477</v>
      </c>
    </row>
    <row r="7" spans="1:11" x14ac:dyDescent="0.25">
      <c r="B7" t="s">
        <v>2</v>
      </c>
      <c r="E7" s="21"/>
      <c r="F7" s="21"/>
      <c r="G7" s="21"/>
      <c r="H7" s="21" t="s">
        <v>479</v>
      </c>
      <c r="I7" s="21"/>
      <c r="J7" s="21"/>
      <c r="K7" s="21" t="s">
        <v>478</v>
      </c>
    </row>
    <row r="8" spans="1:11" x14ac:dyDescent="0.25">
      <c r="B8" t="s">
        <v>1</v>
      </c>
    </row>
    <row r="12" spans="1:11" x14ac:dyDescent="0.25">
      <c r="B12" t="s">
        <v>541</v>
      </c>
      <c r="C12" t="s">
        <v>541</v>
      </c>
    </row>
    <row r="13" spans="1:11" x14ac:dyDescent="0.25">
      <c r="B13" t="s">
        <v>546</v>
      </c>
      <c r="C13" t="s">
        <v>546</v>
      </c>
    </row>
    <row r="14" spans="1:11" x14ac:dyDescent="0.25">
      <c r="B14" t="s">
        <v>550</v>
      </c>
      <c r="C14" t="s">
        <v>550</v>
      </c>
    </row>
    <row r="15" spans="1:11" x14ac:dyDescent="0.25">
      <c r="B15" t="s">
        <v>551</v>
      </c>
      <c r="C15" t="s">
        <v>551</v>
      </c>
    </row>
    <row r="16" spans="1:11" x14ac:dyDescent="0.25">
      <c r="B16" t="s">
        <v>539</v>
      </c>
      <c r="C16" t="s">
        <v>539</v>
      </c>
    </row>
    <row r="17" spans="2:3" x14ac:dyDescent="0.25">
      <c r="B17" t="s">
        <v>542</v>
      </c>
      <c r="C17" t="s">
        <v>542</v>
      </c>
    </row>
    <row r="18" spans="2:3" x14ac:dyDescent="0.25">
      <c r="B18" t="s">
        <v>559</v>
      </c>
      <c r="C18" t="s">
        <v>559</v>
      </c>
    </row>
    <row r="19" spans="2:3" x14ac:dyDescent="0.25">
      <c r="B19" t="s">
        <v>605</v>
      </c>
      <c r="C19" t="s">
        <v>605</v>
      </c>
    </row>
    <row r="20" spans="2:3" x14ac:dyDescent="0.25">
      <c r="B20" t="s">
        <v>552</v>
      </c>
      <c r="C20" t="s">
        <v>552</v>
      </c>
    </row>
    <row r="21" spans="2:3" x14ac:dyDescent="0.25">
      <c r="B21" t="s">
        <v>554</v>
      </c>
      <c r="C21" t="s">
        <v>554</v>
      </c>
    </row>
    <row r="22" spans="2:3" x14ac:dyDescent="0.25">
      <c r="B22" t="s">
        <v>556</v>
      </c>
      <c r="C22" t="s">
        <v>556</v>
      </c>
    </row>
    <row r="23" spans="2:3" x14ac:dyDescent="0.25">
      <c r="B23" t="s">
        <v>547</v>
      </c>
      <c r="C23" t="s">
        <v>547</v>
      </c>
    </row>
    <row r="24" spans="2:3" x14ac:dyDescent="0.25">
      <c r="B24" t="s">
        <v>540</v>
      </c>
      <c r="C24" t="s">
        <v>540</v>
      </c>
    </row>
    <row r="25" spans="2:3" x14ac:dyDescent="0.25">
      <c r="B25" t="s">
        <v>543</v>
      </c>
      <c r="C25" t="s">
        <v>543</v>
      </c>
    </row>
    <row r="26" spans="2:3" x14ac:dyDescent="0.25">
      <c r="B26" t="s">
        <v>544</v>
      </c>
      <c r="C26" t="s">
        <v>544</v>
      </c>
    </row>
    <row r="27" spans="2:3" x14ac:dyDescent="0.25">
      <c r="B27" t="s">
        <v>553</v>
      </c>
      <c r="C27" t="s">
        <v>553</v>
      </c>
    </row>
    <row r="28" spans="2:3" x14ac:dyDescent="0.25">
      <c r="C28" t="s">
        <v>555</v>
      </c>
    </row>
    <row r="29" spans="2:3" x14ac:dyDescent="0.25">
      <c r="B29" t="s">
        <v>557</v>
      </c>
      <c r="C29" t="s">
        <v>557</v>
      </c>
    </row>
    <row r="30" spans="2:3" x14ac:dyDescent="0.25">
      <c r="B30" t="s">
        <v>548</v>
      </c>
      <c r="C30" t="s">
        <v>548</v>
      </c>
    </row>
    <row r="31" spans="2:3" x14ac:dyDescent="0.25">
      <c r="B31" t="s">
        <v>545</v>
      </c>
      <c r="C31" t="s">
        <v>545</v>
      </c>
    </row>
    <row r="32" spans="2:3" x14ac:dyDescent="0.25">
      <c r="B32" t="s">
        <v>549</v>
      </c>
      <c r="C32" t="s">
        <v>549</v>
      </c>
    </row>
    <row r="33" spans="2:3" x14ac:dyDescent="0.25">
      <c r="B33" t="s">
        <v>558</v>
      </c>
      <c r="C33" t="s">
        <v>558</v>
      </c>
    </row>
  </sheetData>
  <sortState ref="C12:C33">
    <sortCondition ref="C12"/>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743"/>
  <sheetViews>
    <sheetView workbookViewId="0">
      <selection sqref="A1:F1"/>
    </sheetView>
  </sheetViews>
  <sheetFormatPr defaultRowHeight="15" x14ac:dyDescent="0.25"/>
  <cols>
    <col min="1" max="1" width="25.28515625" bestFit="1" customWidth="1"/>
    <col min="2" max="2" width="28.28515625" customWidth="1"/>
    <col min="3" max="3" width="36.140625" bestFit="1" customWidth="1"/>
    <col min="4" max="4" width="36.140625" customWidth="1"/>
    <col min="5" max="5" width="16.28515625" bestFit="1" customWidth="1"/>
    <col min="11" max="11" width="15.28515625" bestFit="1" customWidth="1"/>
    <col min="12" max="12" width="15.28515625" customWidth="1"/>
    <col min="13" max="13" width="13.85546875" customWidth="1"/>
    <col min="14" max="14" width="10" bestFit="1" customWidth="1"/>
    <col min="18" max="18" width="11.42578125" bestFit="1" customWidth="1"/>
    <col min="19" max="19" width="15.28515625" bestFit="1" customWidth="1"/>
  </cols>
  <sheetData>
    <row r="1" spans="1:20" x14ac:dyDescent="0.25">
      <c r="A1" s="159" t="s">
        <v>19</v>
      </c>
      <c r="B1" s="159"/>
      <c r="C1" s="159"/>
      <c r="D1" s="159"/>
      <c r="E1" s="159"/>
      <c r="F1" s="159"/>
      <c r="G1" s="65"/>
      <c r="H1" s="65"/>
      <c r="K1" s="163" t="s">
        <v>317</v>
      </c>
      <c r="L1" s="163"/>
      <c r="M1" s="163"/>
    </row>
    <row r="2" spans="1:20" x14ac:dyDescent="0.25">
      <c r="A2" s="62" t="s">
        <v>15</v>
      </c>
      <c r="B2" s="157" t="s">
        <v>14</v>
      </c>
      <c r="C2" s="157"/>
      <c r="D2" s="157"/>
      <c r="E2" s="157"/>
      <c r="F2" s="157"/>
      <c r="G2" s="62" t="s">
        <v>15</v>
      </c>
      <c r="H2" s="62" t="s">
        <v>16</v>
      </c>
      <c r="K2" t="s">
        <v>316</v>
      </c>
      <c r="L2" t="s">
        <v>763</v>
      </c>
      <c r="M2" t="s">
        <v>315</v>
      </c>
      <c r="N2" t="s">
        <v>14</v>
      </c>
      <c r="R2" t="s">
        <v>763</v>
      </c>
      <c r="S2" t="s">
        <v>315</v>
      </c>
      <c r="T2" t="s">
        <v>14</v>
      </c>
    </row>
    <row r="3" spans="1:20" x14ac:dyDescent="0.25">
      <c r="A3" t="s">
        <v>144</v>
      </c>
      <c r="B3" s="160" t="e">
        <f>VLOOKUP(A3,RN_BN!$A$3:$D$193,2,FALSE)</f>
        <v>#N/A</v>
      </c>
      <c r="C3" s="160"/>
      <c r="D3" s="160"/>
      <c r="E3" s="160"/>
      <c r="F3" s="160"/>
      <c r="G3" t="e">
        <f t="shared" ref="G3:G11" si="0">$A$16</f>
        <v>#N/A</v>
      </c>
      <c r="H3" t="str">
        <f t="shared" ref="H3:H11" si="1">$B$16</f>
        <v>Creación de Platillo</v>
      </c>
      <c r="K3" s="6" t="s">
        <v>139</v>
      </c>
      <c r="L3" t="str">
        <f t="shared" ref="L3:L21" si="2">IF(VLOOKUP(A3,$K$3:$K$82,1,FALSE)=A3,A3)</f>
        <v>Co_01_02</v>
      </c>
      <c r="M3" t="e">
        <f t="shared" ref="M3:M66" si="3">IF(ISNA(L3),,G3)</f>
        <v>#N/A</v>
      </c>
      <c r="N3" t="str">
        <f>IF(ISNA(L3),,H3)</f>
        <v>Creación de Platillo</v>
      </c>
      <c r="R3" t="s">
        <v>144</v>
      </c>
      <c r="S3" t="s">
        <v>539</v>
      </c>
      <c r="T3" t="s">
        <v>191</v>
      </c>
    </row>
    <row r="4" spans="1:20" x14ac:dyDescent="0.25">
      <c r="A4" t="s">
        <v>188</v>
      </c>
      <c r="B4" s="160" t="e">
        <f>VLOOKUP(A4,RN_BN!$A$3:$D$193,2,FALSE)</f>
        <v>#N/A</v>
      </c>
      <c r="C4" s="160"/>
      <c r="D4" s="160"/>
      <c r="E4" s="160"/>
      <c r="F4" s="160"/>
      <c r="G4" t="e">
        <f t="shared" si="0"/>
        <v>#N/A</v>
      </c>
      <c r="H4" t="str">
        <f t="shared" si="1"/>
        <v>Creación de Platillo</v>
      </c>
      <c r="K4" s="6" t="s">
        <v>356</v>
      </c>
      <c r="L4" t="str">
        <f t="shared" si="2"/>
        <v>Co_01_03</v>
      </c>
      <c r="M4" t="e">
        <f t="shared" si="3"/>
        <v>#N/A</v>
      </c>
      <c r="N4" t="str">
        <f t="shared" ref="N4:N75" si="4">IF(ISNA(L4),,H4)</f>
        <v>Creación de Platillo</v>
      </c>
      <c r="R4" t="s">
        <v>188</v>
      </c>
      <c r="S4" t="s">
        <v>539</v>
      </c>
      <c r="T4" t="s">
        <v>191</v>
      </c>
    </row>
    <row r="5" spans="1:20" x14ac:dyDescent="0.25">
      <c r="A5" t="s">
        <v>189</v>
      </c>
      <c r="B5" s="160" t="e">
        <f>VLOOKUP(A5,RN_BN!$A$3:$D$193,2,FALSE)</f>
        <v>#N/A</v>
      </c>
      <c r="C5" s="160"/>
      <c r="D5" s="160"/>
      <c r="E5" s="160"/>
      <c r="F5" s="160"/>
      <c r="G5" t="e">
        <f t="shared" si="0"/>
        <v>#N/A</v>
      </c>
      <c r="H5" t="str">
        <f t="shared" si="1"/>
        <v>Creación de Platillo</v>
      </c>
      <c r="K5" s="6" t="s">
        <v>400</v>
      </c>
      <c r="L5" t="str">
        <f t="shared" si="2"/>
        <v>Co_03_02</v>
      </c>
      <c r="M5" t="e">
        <f t="shared" si="3"/>
        <v>#N/A</v>
      </c>
      <c r="N5" t="str">
        <f t="shared" si="4"/>
        <v>Creación de Platillo</v>
      </c>
      <c r="R5" t="s">
        <v>189</v>
      </c>
      <c r="S5" t="s">
        <v>539</v>
      </c>
      <c r="T5" t="s">
        <v>191</v>
      </c>
    </row>
    <row r="6" spans="1:20" x14ac:dyDescent="0.25">
      <c r="A6" t="s">
        <v>192</v>
      </c>
      <c r="B6" s="160" t="e">
        <f>VLOOKUP(A6,RN_BN!$A$3:$D$193,2,FALSE)</f>
        <v>#N/A</v>
      </c>
      <c r="C6" s="160"/>
      <c r="D6" s="160"/>
      <c r="E6" s="160"/>
      <c r="F6" s="160"/>
      <c r="G6" t="e">
        <f t="shared" si="0"/>
        <v>#N/A</v>
      </c>
      <c r="H6" t="str">
        <f t="shared" si="1"/>
        <v>Creación de Platillo</v>
      </c>
      <c r="K6" s="6" t="s">
        <v>327</v>
      </c>
      <c r="L6" t="str">
        <f t="shared" si="2"/>
        <v>Co_01_01</v>
      </c>
      <c r="M6" t="e">
        <f t="shared" si="3"/>
        <v>#N/A</v>
      </c>
      <c r="N6" t="str">
        <f t="shared" si="4"/>
        <v>Creación de Platillo</v>
      </c>
      <c r="R6" t="s">
        <v>192</v>
      </c>
      <c r="S6" t="s">
        <v>539</v>
      </c>
      <c r="T6" t="s">
        <v>191</v>
      </c>
    </row>
    <row r="7" spans="1:20" x14ac:dyDescent="0.25">
      <c r="A7" t="s">
        <v>743</v>
      </c>
      <c r="B7" s="160" t="e">
        <f>VLOOKUP(A7,RN_BN!$A$3:$D$193,2,FALSE)</f>
        <v>#N/A</v>
      </c>
      <c r="C7" s="160"/>
      <c r="D7" s="160"/>
      <c r="E7" s="160"/>
      <c r="F7" s="160"/>
      <c r="G7" t="e">
        <f t="shared" si="0"/>
        <v>#N/A</v>
      </c>
      <c r="H7" t="str">
        <f t="shared" si="1"/>
        <v>Creación de Platillo</v>
      </c>
      <c r="K7" s="6" t="s">
        <v>740</v>
      </c>
      <c r="L7" t="str">
        <f t="shared" si="2"/>
        <v>Co_01_09</v>
      </c>
      <c r="M7" t="e">
        <f t="shared" si="3"/>
        <v>#N/A</v>
      </c>
      <c r="N7" t="str">
        <f>IF(ISNA(L7),,H7)</f>
        <v>Creación de Platillo</v>
      </c>
      <c r="R7" t="s">
        <v>743</v>
      </c>
      <c r="S7" t="s">
        <v>539</v>
      </c>
      <c r="T7" t="s">
        <v>191</v>
      </c>
    </row>
    <row r="8" spans="1:20" x14ac:dyDescent="0.25">
      <c r="A8" t="s">
        <v>744</v>
      </c>
      <c r="B8" s="160" t="e">
        <f>VLOOKUP(A8,RN_BN!$A$3:$D$193,2,FALSE)</f>
        <v>#N/A</v>
      </c>
      <c r="C8" s="160"/>
      <c r="D8" s="160"/>
      <c r="E8" s="160"/>
      <c r="F8" s="160"/>
      <c r="G8" t="e">
        <f t="shared" si="0"/>
        <v>#N/A</v>
      </c>
      <c r="H8" t="str">
        <f t="shared" si="1"/>
        <v>Creación de Platillo</v>
      </c>
      <c r="K8" s="6" t="s">
        <v>140</v>
      </c>
      <c r="L8" t="str">
        <f t="shared" si="2"/>
        <v>Co_01_10</v>
      </c>
      <c r="M8" t="e">
        <f t="shared" si="3"/>
        <v>#N/A</v>
      </c>
      <c r="N8" t="str">
        <f>IF(ISNA(L8),,H8)</f>
        <v>Creación de Platillo</v>
      </c>
      <c r="R8" t="s">
        <v>744</v>
      </c>
      <c r="S8" t="s">
        <v>539</v>
      </c>
      <c r="T8" t="s">
        <v>191</v>
      </c>
    </row>
    <row r="9" spans="1:20" x14ac:dyDescent="0.25">
      <c r="A9" t="s">
        <v>745</v>
      </c>
      <c r="B9" s="160" t="e">
        <f>VLOOKUP(A9,RN_BN!$A$3:$D$193,2,FALSE)</f>
        <v>#N/A</v>
      </c>
      <c r="C9" s="160"/>
      <c r="D9" s="160"/>
      <c r="E9" s="160"/>
      <c r="F9" s="160"/>
      <c r="G9" t="e">
        <f t="shared" si="0"/>
        <v>#N/A</v>
      </c>
      <c r="H9" t="str">
        <f t="shared" si="1"/>
        <v>Creación de Platillo</v>
      </c>
      <c r="K9" s="6" t="s">
        <v>399</v>
      </c>
      <c r="L9" t="str">
        <f t="shared" si="2"/>
        <v>Co_01_11</v>
      </c>
      <c r="M9" t="e">
        <f t="shared" si="3"/>
        <v>#N/A</v>
      </c>
      <c r="N9" t="str">
        <f>IF(ISNA(L9),,H9)</f>
        <v>Creación de Platillo</v>
      </c>
      <c r="R9" t="s">
        <v>745</v>
      </c>
      <c r="S9" t="s">
        <v>539</v>
      </c>
      <c r="T9" t="s">
        <v>191</v>
      </c>
    </row>
    <row r="10" spans="1:20" x14ac:dyDescent="0.25">
      <c r="A10" t="s">
        <v>772</v>
      </c>
      <c r="B10" s="160" t="e">
        <f>VLOOKUP(A10,RN_BN!$A$3:$D$193,2,FALSE)</f>
        <v>#N/A</v>
      </c>
      <c r="C10" s="160"/>
      <c r="D10" s="160"/>
      <c r="E10" s="160"/>
      <c r="F10" s="160"/>
      <c r="G10" t="e">
        <f t="shared" si="0"/>
        <v>#N/A</v>
      </c>
      <c r="H10" t="str">
        <f t="shared" si="1"/>
        <v>Creación de Platillo</v>
      </c>
      <c r="K10" s="6" t="s">
        <v>415</v>
      </c>
      <c r="L10" t="str">
        <f t="shared" si="2"/>
        <v>Co_01_08</v>
      </c>
      <c r="M10" t="e">
        <f t="shared" si="3"/>
        <v>#N/A</v>
      </c>
      <c r="N10" t="str">
        <f>IF(ISNA(L10),,H10)</f>
        <v>Creación de Platillo</v>
      </c>
      <c r="R10" t="s">
        <v>772</v>
      </c>
      <c r="S10" t="s">
        <v>539</v>
      </c>
      <c r="T10" t="s">
        <v>191</v>
      </c>
    </row>
    <row r="11" spans="1:20" x14ac:dyDescent="0.25">
      <c r="A11" t="s">
        <v>195</v>
      </c>
      <c r="B11" s="160" t="e">
        <f>VLOOKUP(A11,RN_BN!$A$3:$D$193,2,FALSE)</f>
        <v>#N/A</v>
      </c>
      <c r="C11" s="160"/>
      <c r="D11" s="160"/>
      <c r="E11" s="160"/>
      <c r="F11" s="160"/>
      <c r="G11" t="e">
        <f t="shared" si="0"/>
        <v>#N/A</v>
      </c>
      <c r="H11" t="str">
        <f t="shared" si="1"/>
        <v>Creación de Platillo</v>
      </c>
      <c r="K11" s="6" t="s">
        <v>741</v>
      </c>
      <c r="L11" t="str">
        <f t="shared" si="2"/>
        <v>Co_01_07</v>
      </c>
      <c r="M11" t="e">
        <f t="shared" si="3"/>
        <v>#N/A</v>
      </c>
      <c r="N11" t="str">
        <f>IF(ISNA(L11),,H11)</f>
        <v>Creación de Platillo</v>
      </c>
      <c r="R11" t="s">
        <v>195</v>
      </c>
      <c r="S11" t="s">
        <v>539</v>
      </c>
      <c r="T11" t="s">
        <v>191</v>
      </c>
    </row>
    <row r="12" spans="1:20" x14ac:dyDescent="0.25">
      <c r="B12" s="160"/>
      <c r="C12" s="160"/>
      <c r="D12" s="160"/>
      <c r="E12" s="160"/>
      <c r="F12" s="160"/>
      <c r="G12" s="66"/>
      <c r="H12" s="66"/>
      <c r="K12" s="6" t="s">
        <v>192</v>
      </c>
      <c r="L12" t="e">
        <f t="shared" si="2"/>
        <v>#N/A</v>
      </c>
      <c r="M12">
        <f t="shared" si="3"/>
        <v>0</v>
      </c>
      <c r="N12">
        <f t="shared" si="4"/>
        <v>0</v>
      </c>
      <c r="R12" t="s">
        <v>707</v>
      </c>
      <c r="S12" t="s">
        <v>540</v>
      </c>
      <c r="T12" t="s">
        <v>196</v>
      </c>
    </row>
    <row r="13" spans="1:20" x14ac:dyDescent="0.25">
      <c r="K13" s="6" t="s">
        <v>144</v>
      </c>
      <c r="L13" t="e">
        <f t="shared" si="2"/>
        <v>#N/A</v>
      </c>
      <c r="M13">
        <f t="shared" si="3"/>
        <v>0</v>
      </c>
      <c r="N13">
        <f t="shared" si="4"/>
        <v>0</v>
      </c>
      <c r="R13" t="s">
        <v>192</v>
      </c>
      <c r="S13" t="s">
        <v>540</v>
      </c>
      <c r="T13" t="s">
        <v>196</v>
      </c>
    </row>
    <row r="14" spans="1:20" x14ac:dyDescent="0.25">
      <c r="A14" s="157" t="s">
        <v>143</v>
      </c>
      <c r="B14" s="157"/>
      <c r="C14" s="157" t="s">
        <v>18</v>
      </c>
      <c r="D14" s="157"/>
      <c r="E14" s="157"/>
      <c r="F14" s="157"/>
      <c r="G14" s="63"/>
      <c r="H14" s="63"/>
      <c r="K14" s="6" t="s">
        <v>188</v>
      </c>
      <c r="L14" t="e">
        <f t="shared" si="2"/>
        <v>#N/A</v>
      </c>
      <c r="M14">
        <f t="shared" si="3"/>
        <v>0</v>
      </c>
      <c r="N14">
        <f t="shared" si="4"/>
        <v>0</v>
      </c>
      <c r="R14" t="s">
        <v>195</v>
      </c>
      <c r="S14" t="s">
        <v>540</v>
      </c>
      <c r="T14" t="s">
        <v>196</v>
      </c>
    </row>
    <row r="15" spans="1:20" x14ac:dyDescent="0.25">
      <c r="A15" s="62" t="s">
        <v>15</v>
      </c>
      <c r="B15" s="62" t="s">
        <v>16</v>
      </c>
      <c r="C15" s="62" t="s">
        <v>15</v>
      </c>
      <c r="D15" s="62" t="s">
        <v>14</v>
      </c>
      <c r="E15" s="62" t="s">
        <v>8</v>
      </c>
      <c r="F15" s="62" t="s">
        <v>142</v>
      </c>
      <c r="G15" s="62"/>
      <c r="H15" s="62"/>
      <c r="K15" s="6" t="s">
        <v>312</v>
      </c>
      <c r="L15" t="e">
        <f t="shared" si="2"/>
        <v>#N/A</v>
      </c>
      <c r="M15">
        <f t="shared" si="3"/>
        <v>0</v>
      </c>
      <c r="N15">
        <f t="shared" si="4"/>
        <v>0</v>
      </c>
      <c r="R15" t="s">
        <v>253</v>
      </c>
      <c r="S15" t="s">
        <v>541</v>
      </c>
      <c r="T15" t="s">
        <v>232</v>
      </c>
    </row>
    <row r="16" spans="1:20" x14ac:dyDescent="0.25">
      <c r="A16" t="e">
        <f>CONCATENATE("UI","_",F16,"_",C16)</f>
        <v>#N/A</v>
      </c>
      <c r="B16" t="s">
        <v>191</v>
      </c>
      <c r="C16" t="e">
        <f>VLOOKUP(A3,RN_BN!$A$3:$D$193,3,FALSE)</f>
        <v>#N/A</v>
      </c>
      <c r="D16" t="e">
        <f>VLOOKUP(A3,RN_BN!$A$3:$D$193,4,FALSE)</f>
        <v>#N/A</v>
      </c>
      <c r="E16" t="e">
        <f>VLOOKUP(C16,RN_BN!$C$3:$F$193,4,FALSE)</f>
        <v>#N/A</v>
      </c>
      <c r="F16" s="22" t="s">
        <v>47</v>
      </c>
      <c r="G16" s="22"/>
      <c r="H16" s="22"/>
      <c r="K16" s="6" t="s">
        <v>742</v>
      </c>
      <c r="L16" t="e">
        <f t="shared" si="2"/>
        <v>#N/A</v>
      </c>
      <c r="M16">
        <f t="shared" si="3"/>
        <v>0</v>
      </c>
      <c r="N16">
        <f t="shared" si="4"/>
        <v>0</v>
      </c>
      <c r="R16" t="s">
        <v>254</v>
      </c>
      <c r="S16" t="s">
        <v>541</v>
      </c>
      <c r="T16" t="s">
        <v>232</v>
      </c>
    </row>
    <row r="17" spans="1:20" x14ac:dyDescent="0.25">
      <c r="K17" s="6" t="s">
        <v>707</v>
      </c>
      <c r="L17" t="e">
        <f t="shared" si="2"/>
        <v>#N/A</v>
      </c>
      <c r="M17">
        <f t="shared" si="3"/>
        <v>0</v>
      </c>
      <c r="N17">
        <f t="shared" si="4"/>
        <v>0</v>
      </c>
      <c r="R17" t="s">
        <v>255</v>
      </c>
      <c r="S17" t="s">
        <v>541</v>
      </c>
      <c r="T17" t="s">
        <v>232</v>
      </c>
    </row>
    <row r="18" spans="1:20" x14ac:dyDescent="0.25">
      <c r="A18" s="62" t="s">
        <v>162</v>
      </c>
      <c r="B18" s="158" t="s">
        <v>16</v>
      </c>
      <c r="C18" s="158"/>
      <c r="D18" s="158"/>
      <c r="E18" s="158"/>
      <c r="F18" s="158"/>
      <c r="G18" s="68"/>
      <c r="H18" s="68"/>
      <c r="K18" s="6" t="s">
        <v>195</v>
      </c>
      <c r="L18" t="e">
        <f t="shared" si="2"/>
        <v>#N/A</v>
      </c>
      <c r="M18">
        <f t="shared" si="3"/>
        <v>0</v>
      </c>
      <c r="N18">
        <f t="shared" si="4"/>
        <v>0</v>
      </c>
      <c r="R18" t="s">
        <v>258</v>
      </c>
      <c r="S18" t="s">
        <v>541</v>
      </c>
      <c r="T18" t="s">
        <v>232</v>
      </c>
    </row>
    <row r="19" spans="1:20" x14ac:dyDescent="0.25">
      <c r="A19" s="24" t="s">
        <v>145</v>
      </c>
      <c r="B19" s="156" t="s">
        <v>164</v>
      </c>
      <c r="C19" s="156"/>
      <c r="D19" s="156"/>
      <c r="E19" s="156"/>
      <c r="F19" s="156"/>
      <c r="G19" s="67"/>
      <c r="H19" s="67"/>
      <c r="K19" s="6" t="s">
        <v>708</v>
      </c>
      <c r="L19" t="e">
        <f t="shared" si="2"/>
        <v>#N/A</v>
      </c>
      <c r="M19">
        <f t="shared" si="3"/>
        <v>0</v>
      </c>
      <c r="N19">
        <f t="shared" si="4"/>
        <v>0</v>
      </c>
      <c r="R19" t="s">
        <v>257</v>
      </c>
      <c r="S19" t="s">
        <v>541</v>
      </c>
      <c r="T19" t="s">
        <v>232</v>
      </c>
    </row>
    <row r="20" spans="1:20" x14ac:dyDescent="0.25">
      <c r="A20" s="24" t="s">
        <v>146</v>
      </c>
      <c r="B20" s="156" t="s">
        <v>165</v>
      </c>
      <c r="C20" s="156"/>
      <c r="D20" s="156"/>
      <c r="E20" s="156"/>
      <c r="F20" s="156"/>
      <c r="G20" s="67"/>
      <c r="H20" s="67"/>
      <c r="K20" s="6" t="s">
        <v>743</v>
      </c>
      <c r="L20" t="e">
        <f t="shared" si="2"/>
        <v>#N/A</v>
      </c>
      <c r="M20">
        <f t="shared" si="3"/>
        <v>0</v>
      </c>
      <c r="N20">
        <f t="shared" si="4"/>
        <v>0</v>
      </c>
      <c r="R20" t="s">
        <v>344</v>
      </c>
      <c r="S20" t="s">
        <v>541</v>
      </c>
      <c r="T20" t="s">
        <v>232</v>
      </c>
    </row>
    <row r="21" spans="1:20" x14ac:dyDescent="0.25">
      <c r="A21" s="24" t="s">
        <v>147</v>
      </c>
      <c r="B21" s="156" t="s">
        <v>166</v>
      </c>
      <c r="C21" s="156"/>
      <c r="D21" s="156"/>
      <c r="E21" s="156"/>
      <c r="F21" s="156"/>
      <c r="G21" s="67"/>
      <c r="H21" s="67"/>
      <c r="K21" s="6" t="s">
        <v>744</v>
      </c>
      <c r="L21" t="e">
        <f t="shared" si="2"/>
        <v>#N/A</v>
      </c>
      <c r="M21">
        <f t="shared" si="3"/>
        <v>0</v>
      </c>
      <c r="N21">
        <f t="shared" si="4"/>
        <v>0</v>
      </c>
      <c r="R21" t="s">
        <v>286</v>
      </c>
      <c r="S21" t="s">
        <v>542</v>
      </c>
      <c r="T21" t="s">
        <v>260</v>
      </c>
    </row>
    <row r="22" spans="1:20" x14ac:dyDescent="0.25">
      <c r="A22" s="24" t="s">
        <v>768</v>
      </c>
      <c r="B22" s="156" t="s">
        <v>769</v>
      </c>
      <c r="C22" s="156"/>
      <c r="D22" s="156"/>
      <c r="E22" s="156"/>
      <c r="F22" s="156"/>
      <c r="G22" s="67"/>
      <c r="H22" s="67"/>
      <c r="K22" s="6" t="s">
        <v>745</v>
      </c>
      <c r="L22" t="e">
        <f>IF(VLOOKUP(A22,$K$3:$K$82,1,FALSE)=A22,A22)</f>
        <v>#N/A</v>
      </c>
      <c r="M22">
        <f t="shared" si="3"/>
        <v>0</v>
      </c>
      <c r="N22">
        <f>IF(ISNA(L22),,H22)</f>
        <v>0</v>
      </c>
      <c r="R22" t="s">
        <v>287</v>
      </c>
      <c r="S22" t="s">
        <v>542</v>
      </c>
      <c r="T22" t="s">
        <v>260</v>
      </c>
    </row>
    <row r="23" spans="1:20" x14ac:dyDescent="0.25">
      <c r="A23" s="24" t="s">
        <v>148</v>
      </c>
      <c r="B23" s="156" t="s">
        <v>169</v>
      </c>
      <c r="C23" s="156"/>
      <c r="D23" s="156"/>
      <c r="E23" s="156"/>
      <c r="F23" s="156"/>
      <c r="G23" s="67"/>
      <c r="H23" s="67"/>
      <c r="K23" s="6" t="s">
        <v>772</v>
      </c>
      <c r="L23" t="e">
        <f t="shared" ref="L23:L34" si="5">IF(VLOOKUP(A23,$K$3:$K$82,1,FALSE)=A23,A23)</f>
        <v>#N/A</v>
      </c>
      <c r="M23">
        <f t="shared" si="3"/>
        <v>0</v>
      </c>
      <c r="N23">
        <f t="shared" si="4"/>
        <v>0</v>
      </c>
      <c r="R23" t="s">
        <v>528</v>
      </c>
      <c r="S23" t="s">
        <v>542</v>
      </c>
      <c r="T23" t="s">
        <v>260</v>
      </c>
    </row>
    <row r="24" spans="1:20" x14ac:dyDescent="0.25">
      <c r="A24" s="24" t="s">
        <v>767</v>
      </c>
      <c r="B24" s="156" t="s">
        <v>170</v>
      </c>
      <c r="C24" s="156"/>
      <c r="D24" s="156"/>
      <c r="E24" s="156"/>
      <c r="F24" s="156"/>
      <c r="G24" s="67"/>
      <c r="H24" s="67"/>
      <c r="K24" s="6" t="s">
        <v>286</v>
      </c>
      <c r="L24" t="e">
        <f t="shared" si="5"/>
        <v>#N/A</v>
      </c>
      <c r="M24">
        <f t="shared" si="3"/>
        <v>0</v>
      </c>
      <c r="N24">
        <f t="shared" si="4"/>
        <v>0</v>
      </c>
      <c r="R24" t="s">
        <v>708</v>
      </c>
      <c r="S24" t="s">
        <v>542</v>
      </c>
      <c r="T24" t="s">
        <v>260</v>
      </c>
    </row>
    <row r="25" spans="1:20" x14ac:dyDescent="0.25">
      <c r="A25" s="24" t="s">
        <v>149</v>
      </c>
      <c r="B25" s="156" t="s">
        <v>171</v>
      </c>
      <c r="C25" s="156"/>
      <c r="D25" s="156"/>
      <c r="E25" s="156"/>
      <c r="F25" s="156"/>
      <c r="G25" s="67"/>
      <c r="H25" s="67"/>
      <c r="K25" s="6" t="s">
        <v>287</v>
      </c>
      <c r="L25" t="e">
        <f t="shared" si="5"/>
        <v>#N/A</v>
      </c>
      <c r="M25">
        <f t="shared" si="3"/>
        <v>0</v>
      </c>
      <c r="N25">
        <f t="shared" si="4"/>
        <v>0</v>
      </c>
      <c r="R25" t="s">
        <v>731</v>
      </c>
      <c r="S25" t="s">
        <v>542</v>
      </c>
      <c r="T25" t="s">
        <v>260</v>
      </c>
    </row>
    <row r="26" spans="1:20" x14ac:dyDescent="0.25">
      <c r="A26" s="24" t="s">
        <v>150</v>
      </c>
      <c r="B26" s="156" t="s">
        <v>172</v>
      </c>
      <c r="C26" s="156"/>
      <c r="D26" s="156"/>
      <c r="E26" s="156"/>
      <c r="F26" s="156"/>
      <c r="G26" s="67"/>
      <c r="H26" s="67"/>
      <c r="K26" s="6" t="s">
        <v>303</v>
      </c>
      <c r="L26" t="e">
        <f t="shared" si="5"/>
        <v>#N/A</v>
      </c>
      <c r="M26">
        <f t="shared" si="3"/>
        <v>0</v>
      </c>
      <c r="N26">
        <f t="shared" si="4"/>
        <v>0</v>
      </c>
      <c r="R26" t="s">
        <v>746</v>
      </c>
      <c r="S26" t="s">
        <v>542</v>
      </c>
      <c r="T26" t="s">
        <v>260</v>
      </c>
    </row>
    <row r="27" spans="1:20" x14ac:dyDescent="0.25">
      <c r="A27" s="24" t="s">
        <v>156</v>
      </c>
      <c r="B27" s="156" t="s">
        <v>173</v>
      </c>
      <c r="C27" s="156"/>
      <c r="D27" s="156"/>
      <c r="E27" s="156"/>
      <c r="F27" s="156"/>
      <c r="G27" s="67"/>
      <c r="H27" s="67"/>
      <c r="K27" s="6" t="s">
        <v>528</v>
      </c>
      <c r="L27" t="e">
        <f t="shared" si="5"/>
        <v>#N/A</v>
      </c>
      <c r="M27">
        <f t="shared" si="3"/>
        <v>0</v>
      </c>
      <c r="N27">
        <f t="shared" si="4"/>
        <v>0</v>
      </c>
      <c r="R27" t="s">
        <v>748</v>
      </c>
      <c r="S27" t="s">
        <v>542</v>
      </c>
      <c r="T27" t="s">
        <v>260</v>
      </c>
    </row>
    <row r="28" spans="1:20" x14ac:dyDescent="0.25">
      <c r="A28" s="24" t="s">
        <v>157</v>
      </c>
      <c r="B28" s="156" t="s">
        <v>174</v>
      </c>
      <c r="C28" s="156"/>
      <c r="D28" s="156"/>
      <c r="E28" s="156"/>
      <c r="F28" s="156"/>
      <c r="G28" s="67"/>
      <c r="H28" s="67"/>
      <c r="K28" s="6" t="s">
        <v>710</v>
      </c>
      <c r="L28" t="e">
        <f t="shared" si="5"/>
        <v>#N/A</v>
      </c>
      <c r="M28">
        <f t="shared" si="3"/>
        <v>0</v>
      </c>
      <c r="N28">
        <f t="shared" si="4"/>
        <v>0</v>
      </c>
      <c r="R28" t="s">
        <v>750</v>
      </c>
      <c r="S28" t="s">
        <v>542</v>
      </c>
      <c r="T28" t="s">
        <v>260</v>
      </c>
    </row>
    <row r="29" spans="1:20" x14ac:dyDescent="0.25">
      <c r="A29" s="24" t="s">
        <v>167</v>
      </c>
      <c r="B29" s="156" t="s">
        <v>168</v>
      </c>
      <c r="C29" s="156"/>
      <c r="D29" s="156"/>
      <c r="E29" s="156"/>
      <c r="F29" s="156"/>
      <c r="G29" s="67"/>
      <c r="H29" s="67"/>
      <c r="K29" s="6" t="s">
        <v>746</v>
      </c>
      <c r="L29" t="e">
        <f t="shared" si="5"/>
        <v>#N/A</v>
      </c>
      <c r="M29">
        <f t="shared" si="3"/>
        <v>0</v>
      </c>
      <c r="N29">
        <f t="shared" si="4"/>
        <v>0</v>
      </c>
      <c r="R29" t="s">
        <v>287</v>
      </c>
      <c r="S29" t="s">
        <v>543</v>
      </c>
      <c r="T29" t="s">
        <v>85</v>
      </c>
    </row>
    <row r="30" spans="1:20" x14ac:dyDescent="0.25">
      <c r="A30" s="24" t="s">
        <v>160</v>
      </c>
      <c r="B30" s="156" t="s">
        <v>175</v>
      </c>
      <c r="C30" s="156"/>
      <c r="D30" s="156"/>
      <c r="E30" s="156"/>
      <c r="F30" s="156"/>
      <c r="G30" s="67"/>
      <c r="H30" s="67"/>
      <c r="K30" s="6" t="s">
        <v>747</v>
      </c>
      <c r="L30" t="e">
        <f t="shared" si="5"/>
        <v>#N/A</v>
      </c>
      <c r="M30">
        <f t="shared" si="3"/>
        <v>0</v>
      </c>
      <c r="N30">
        <f t="shared" si="4"/>
        <v>0</v>
      </c>
      <c r="R30" t="s">
        <v>303</v>
      </c>
      <c r="S30" t="s">
        <v>543</v>
      </c>
      <c r="T30" t="s">
        <v>85</v>
      </c>
    </row>
    <row r="31" spans="1:20" x14ac:dyDescent="0.25">
      <c r="A31" s="24" t="s">
        <v>161</v>
      </c>
      <c r="B31" s="156" t="s">
        <v>176</v>
      </c>
      <c r="C31" s="156"/>
      <c r="D31" s="156"/>
      <c r="E31" s="156"/>
      <c r="F31" s="156"/>
      <c r="G31" s="67"/>
      <c r="H31" s="67"/>
      <c r="K31" s="6" t="s">
        <v>731</v>
      </c>
      <c r="L31" t="e">
        <f t="shared" si="5"/>
        <v>#N/A</v>
      </c>
      <c r="M31">
        <f t="shared" si="3"/>
        <v>0</v>
      </c>
      <c r="N31">
        <f t="shared" si="4"/>
        <v>0</v>
      </c>
      <c r="R31" t="s">
        <v>256</v>
      </c>
      <c r="S31" t="s">
        <v>544</v>
      </c>
      <c r="T31" t="s">
        <v>304</v>
      </c>
    </row>
    <row r="32" spans="1:20" x14ac:dyDescent="0.25">
      <c r="A32" s="24" t="s">
        <v>177</v>
      </c>
      <c r="B32" s="156" t="s">
        <v>179</v>
      </c>
      <c r="C32" s="156"/>
      <c r="D32" s="156"/>
      <c r="E32" s="156"/>
      <c r="F32" s="156"/>
      <c r="G32" s="67"/>
      <c r="H32" s="67"/>
      <c r="K32" s="6" t="s">
        <v>748</v>
      </c>
      <c r="L32" t="e">
        <f t="shared" si="5"/>
        <v>#N/A</v>
      </c>
      <c r="M32">
        <f t="shared" si="3"/>
        <v>0</v>
      </c>
      <c r="N32">
        <f t="shared" si="4"/>
        <v>0</v>
      </c>
      <c r="R32" t="s">
        <v>312</v>
      </c>
      <c r="S32" t="s">
        <v>545</v>
      </c>
      <c r="T32" t="s">
        <v>313</v>
      </c>
    </row>
    <row r="33" spans="1:20" x14ac:dyDescent="0.25">
      <c r="A33" s="24" t="s">
        <v>178</v>
      </c>
      <c r="B33" s="156" t="s">
        <v>180</v>
      </c>
      <c r="C33" s="156"/>
      <c r="D33" s="156"/>
      <c r="E33" s="156"/>
      <c r="F33" s="156"/>
      <c r="G33" s="67"/>
      <c r="H33" s="67"/>
      <c r="K33" s="6" t="s">
        <v>749</v>
      </c>
      <c r="L33" t="e">
        <f t="shared" si="5"/>
        <v>#N/A</v>
      </c>
      <c r="M33">
        <f t="shared" si="3"/>
        <v>0</v>
      </c>
      <c r="N33">
        <f t="shared" si="4"/>
        <v>0</v>
      </c>
      <c r="R33" t="s">
        <v>327</v>
      </c>
      <c r="S33" t="s">
        <v>546</v>
      </c>
      <c r="T33" t="s">
        <v>328</v>
      </c>
    </row>
    <row r="34" spans="1:20" x14ac:dyDescent="0.25">
      <c r="A34" s="24" t="s">
        <v>193</v>
      </c>
      <c r="B34" s="156" t="s">
        <v>194</v>
      </c>
      <c r="C34" s="156"/>
      <c r="D34" s="156"/>
      <c r="E34" s="156"/>
      <c r="F34" s="156"/>
      <c r="G34" s="67"/>
      <c r="H34" s="67"/>
      <c r="K34" s="6" t="s">
        <v>750</v>
      </c>
      <c r="L34" t="e">
        <f t="shared" si="5"/>
        <v>#N/A</v>
      </c>
      <c r="M34">
        <f t="shared" si="3"/>
        <v>0</v>
      </c>
      <c r="N34">
        <f t="shared" si="4"/>
        <v>0</v>
      </c>
      <c r="R34" t="s">
        <v>139</v>
      </c>
      <c r="S34" t="s">
        <v>547</v>
      </c>
      <c r="T34" t="s">
        <v>345</v>
      </c>
    </row>
    <row r="35" spans="1:20" x14ac:dyDescent="0.25">
      <c r="A35" s="24" t="s">
        <v>764</v>
      </c>
      <c r="B35" s="156" t="s">
        <v>765</v>
      </c>
      <c r="C35" s="156"/>
      <c r="D35" s="156"/>
      <c r="E35" s="156"/>
      <c r="F35" s="156"/>
      <c r="G35" s="67"/>
      <c r="H35" s="67"/>
      <c r="K35" s="6" t="s">
        <v>773</v>
      </c>
      <c r="L35" t="e">
        <f>IF(VLOOKUP(A35,$K$3:$K$82,1,FALSE)=A35,A35)</f>
        <v>#N/A</v>
      </c>
      <c r="M35">
        <f t="shared" si="3"/>
        <v>0</v>
      </c>
      <c r="N35">
        <f>IF(ISNA(L35),,H35)</f>
        <v>0</v>
      </c>
      <c r="R35" t="s">
        <v>356</v>
      </c>
      <c r="S35" t="s">
        <v>548</v>
      </c>
      <c r="T35" t="s">
        <v>346</v>
      </c>
    </row>
    <row r="36" spans="1:20" x14ac:dyDescent="0.25">
      <c r="K36" s="6" t="s">
        <v>253</v>
      </c>
      <c r="L36" t="e">
        <f t="shared" ref="L36:L60" si="6">IF(VLOOKUP(A36,$K$3:$K$82,1,FALSE)=A36,A36)</f>
        <v>#N/A</v>
      </c>
      <c r="M36">
        <f t="shared" si="3"/>
        <v>0</v>
      </c>
      <c r="N36">
        <f t="shared" si="4"/>
        <v>0</v>
      </c>
      <c r="R36" t="s">
        <v>253</v>
      </c>
      <c r="S36" t="s">
        <v>549</v>
      </c>
      <c r="T36" t="s">
        <v>359</v>
      </c>
    </row>
    <row r="37" spans="1:20" x14ac:dyDescent="0.25">
      <c r="A37" s="62" t="s">
        <v>163</v>
      </c>
      <c r="B37" s="158" t="s">
        <v>16</v>
      </c>
      <c r="C37" s="158"/>
      <c r="D37" s="158"/>
      <c r="E37" s="158"/>
      <c r="F37" s="158"/>
      <c r="G37" s="68"/>
      <c r="H37" s="68"/>
      <c r="K37" s="6" t="s">
        <v>189</v>
      </c>
      <c r="L37" t="e">
        <f t="shared" si="6"/>
        <v>#N/A</v>
      </c>
      <c r="M37">
        <f t="shared" si="3"/>
        <v>0</v>
      </c>
      <c r="N37">
        <f t="shared" si="4"/>
        <v>0</v>
      </c>
      <c r="R37" t="s">
        <v>366</v>
      </c>
      <c r="S37" t="s">
        <v>549</v>
      </c>
      <c r="T37" t="s">
        <v>359</v>
      </c>
    </row>
    <row r="38" spans="1:20" x14ac:dyDescent="0.25">
      <c r="A38" s="24" t="s">
        <v>151</v>
      </c>
      <c r="B38" s="161" t="s">
        <v>181</v>
      </c>
      <c r="C38" s="161"/>
      <c r="D38" s="161"/>
      <c r="E38" s="161"/>
      <c r="F38" s="161"/>
      <c r="G38" s="69"/>
      <c r="H38" s="69"/>
      <c r="K38" s="6" t="s">
        <v>254</v>
      </c>
      <c r="L38" t="e">
        <f t="shared" si="6"/>
        <v>#N/A</v>
      </c>
      <c r="M38">
        <f t="shared" si="3"/>
        <v>0</v>
      </c>
      <c r="N38">
        <f t="shared" si="4"/>
        <v>0</v>
      </c>
      <c r="R38" t="s">
        <v>255</v>
      </c>
      <c r="S38" t="s">
        <v>549</v>
      </c>
      <c r="T38" t="s">
        <v>359</v>
      </c>
    </row>
    <row r="39" spans="1:20" x14ac:dyDescent="0.25">
      <c r="A39" s="24" t="s">
        <v>152</v>
      </c>
      <c r="B39" s="161" t="s">
        <v>182</v>
      </c>
      <c r="C39" s="161"/>
      <c r="D39" s="161"/>
      <c r="E39" s="161"/>
      <c r="F39" s="161"/>
      <c r="G39" s="69"/>
      <c r="H39" s="69"/>
      <c r="K39" s="6" t="s">
        <v>258</v>
      </c>
      <c r="L39" t="e">
        <f t="shared" si="6"/>
        <v>#N/A</v>
      </c>
      <c r="M39">
        <f t="shared" si="3"/>
        <v>0</v>
      </c>
      <c r="N39">
        <f t="shared" si="4"/>
        <v>0</v>
      </c>
      <c r="R39" t="s">
        <v>258</v>
      </c>
      <c r="S39" t="s">
        <v>549</v>
      </c>
      <c r="T39" t="s">
        <v>359</v>
      </c>
    </row>
    <row r="40" spans="1:20" x14ac:dyDescent="0.25">
      <c r="A40" s="24" t="s">
        <v>153</v>
      </c>
      <c r="B40" s="161" t="s">
        <v>183</v>
      </c>
      <c r="C40" s="161"/>
      <c r="D40" s="161"/>
      <c r="E40" s="161"/>
      <c r="F40" s="161"/>
      <c r="G40" s="69"/>
      <c r="H40" s="69"/>
      <c r="K40" s="6" t="s">
        <v>255</v>
      </c>
      <c r="L40" t="e">
        <f t="shared" si="6"/>
        <v>#N/A</v>
      </c>
      <c r="M40">
        <f t="shared" si="3"/>
        <v>0</v>
      </c>
      <c r="N40">
        <f t="shared" si="4"/>
        <v>0</v>
      </c>
      <c r="R40" t="s">
        <v>257</v>
      </c>
      <c r="S40" t="s">
        <v>549</v>
      </c>
      <c r="T40" t="s">
        <v>359</v>
      </c>
    </row>
    <row r="41" spans="1:20" x14ac:dyDescent="0.25">
      <c r="A41" s="24" t="s">
        <v>154</v>
      </c>
      <c r="B41" s="161" t="s">
        <v>185</v>
      </c>
      <c r="C41" s="161"/>
      <c r="D41" s="161"/>
      <c r="E41" s="161"/>
      <c r="F41" s="161"/>
      <c r="G41" s="69"/>
      <c r="H41" s="69"/>
      <c r="K41" s="6" t="s">
        <v>257</v>
      </c>
      <c r="L41" t="e">
        <f t="shared" si="6"/>
        <v>#N/A</v>
      </c>
      <c r="M41">
        <f t="shared" si="3"/>
        <v>0</v>
      </c>
      <c r="N41">
        <f t="shared" si="4"/>
        <v>0</v>
      </c>
      <c r="R41" t="s">
        <v>344</v>
      </c>
      <c r="S41" t="s">
        <v>549</v>
      </c>
      <c r="T41" t="s">
        <v>359</v>
      </c>
    </row>
    <row r="42" spans="1:20" x14ac:dyDescent="0.25">
      <c r="A42" s="24" t="s">
        <v>155</v>
      </c>
      <c r="B42" s="161" t="s">
        <v>184</v>
      </c>
      <c r="C42" s="161"/>
      <c r="D42" s="161"/>
      <c r="E42" s="161"/>
      <c r="F42" s="161"/>
      <c r="G42" s="69"/>
      <c r="H42" s="69"/>
      <c r="K42" s="6" t="s">
        <v>256</v>
      </c>
      <c r="L42" t="e">
        <f t="shared" si="6"/>
        <v>#N/A</v>
      </c>
      <c r="M42">
        <f t="shared" si="3"/>
        <v>0</v>
      </c>
      <c r="N42">
        <f t="shared" si="4"/>
        <v>0</v>
      </c>
      <c r="R42" t="s">
        <v>140</v>
      </c>
      <c r="S42" t="s">
        <v>550</v>
      </c>
      <c r="T42" t="s">
        <v>370</v>
      </c>
    </row>
    <row r="43" spans="1:20" x14ac:dyDescent="0.25">
      <c r="A43" s="24" t="s">
        <v>158</v>
      </c>
      <c r="B43" s="161" t="s">
        <v>186</v>
      </c>
      <c r="C43" s="161"/>
      <c r="D43" s="161"/>
      <c r="E43" s="161"/>
      <c r="F43" s="161"/>
      <c r="G43" s="69"/>
      <c r="H43" s="69"/>
      <c r="K43" s="6" t="s">
        <v>344</v>
      </c>
      <c r="L43" t="e">
        <f t="shared" si="6"/>
        <v>#N/A</v>
      </c>
      <c r="M43">
        <f t="shared" si="3"/>
        <v>0</v>
      </c>
      <c r="N43">
        <f t="shared" si="4"/>
        <v>0</v>
      </c>
      <c r="R43" t="s">
        <v>399</v>
      </c>
      <c r="S43" t="s">
        <v>550</v>
      </c>
      <c r="T43" t="s">
        <v>370</v>
      </c>
    </row>
    <row r="44" spans="1:20" x14ac:dyDescent="0.25">
      <c r="A44" s="24" t="s">
        <v>159</v>
      </c>
      <c r="B44" s="161" t="s">
        <v>187</v>
      </c>
      <c r="C44" s="161"/>
      <c r="D44" s="161"/>
      <c r="E44" s="161"/>
      <c r="F44" s="161"/>
      <c r="G44" s="69"/>
      <c r="H44" s="69"/>
      <c r="K44" s="6" t="s">
        <v>366</v>
      </c>
      <c r="L44" t="e">
        <f t="shared" si="6"/>
        <v>#N/A</v>
      </c>
      <c r="M44">
        <f t="shared" si="3"/>
        <v>0</v>
      </c>
      <c r="N44">
        <f t="shared" si="4"/>
        <v>0</v>
      </c>
      <c r="R44" t="s">
        <v>400</v>
      </c>
      <c r="S44" t="s">
        <v>550</v>
      </c>
      <c r="T44" t="s">
        <v>370</v>
      </c>
    </row>
    <row r="45" spans="1:20" x14ac:dyDescent="0.25">
      <c r="A45" s="24" t="s">
        <v>597</v>
      </c>
      <c r="B45" s="161" t="s">
        <v>766</v>
      </c>
      <c r="C45" s="161"/>
      <c r="D45" s="161"/>
      <c r="E45" s="161"/>
      <c r="F45" s="161"/>
      <c r="G45" s="69"/>
      <c r="H45" s="69"/>
      <c r="K45" s="6" t="s">
        <v>752</v>
      </c>
      <c r="L45" t="e">
        <f t="shared" si="6"/>
        <v>#N/A</v>
      </c>
      <c r="M45">
        <f t="shared" si="3"/>
        <v>0</v>
      </c>
      <c r="N45">
        <f t="shared" si="4"/>
        <v>0</v>
      </c>
      <c r="R45" t="s">
        <v>415</v>
      </c>
      <c r="S45" t="s">
        <v>551</v>
      </c>
      <c r="T45" t="s">
        <v>414</v>
      </c>
    </row>
    <row r="46" spans="1:20" x14ac:dyDescent="0.25">
      <c r="K46" s="6" t="s">
        <v>530</v>
      </c>
      <c r="L46" t="e">
        <f t="shared" si="6"/>
        <v>#N/A</v>
      </c>
      <c r="M46">
        <f t="shared" si="3"/>
        <v>0</v>
      </c>
      <c r="N46">
        <f t="shared" si="4"/>
        <v>0</v>
      </c>
      <c r="R46" t="s">
        <v>450</v>
      </c>
      <c r="S46" t="s">
        <v>551</v>
      </c>
      <c r="T46" t="s">
        <v>414</v>
      </c>
    </row>
    <row r="47" spans="1:20" x14ac:dyDescent="0.25">
      <c r="K47" s="6" t="s">
        <v>529</v>
      </c>
      <c r="L47" t="e">
        <f t="shared" si="6"/>
        <v>#N/A</v>
      </c>
      <c r="M47">
        <f t="shared" si="3"/>
        <v>0</v>
      </c>
      <c r="N47">
        <f t="shared" si="4"/>
        <v>0</v>
      </c>
      <c r="R47" t="s">
        <v>443</v>
      </c>
      <c r="S47" t="s">
        <v>552</v>
      </c>
      <c r="T47" t="s">
        <v>446</v>
      </c>
    </row>
    <row r="48" spans="1:20" x14ac:dyDescent="0.25">
      <c r="K48" s="6" t="s">
        <v>570</v>
      </c>
      <c r="L48" t="e">
        <f t="shared" si="6"/>
        <v>#N/A</v>
      </c>
      <c r="M48">
        <f t="shared" si="3"/>
        <v>0</v>
      </c>
      <c r="N48">
        <f t="shared" si="4"/>
        <v>0</v>
      </c>
      <c r="R48" t="s">
        <v>444</v>
      </c>
      <c r="S48" t="s">
        <v>552</v>
      </c>
      <c r="T48" t="s">
        <v>446</v>
      </c>
    </row>
    <row r="49" spans="1:20" x14ac:dyDescent="0.25">
      <c r="A49" s="159" t="s">
        <v>19</v>
      </c>
      <c r="B49" s="159"/>
      <c r="C49" s="159"/>
      <c r="D49" s="159"/>
      <c r="E49" s="159"/>
      <c r="F49" s="159"/>
      <c r="G49" s="65"/>
      <c r="H49" s="65"/>
      <c r="K49" s="6" t="s">
        <v>141</v>
      </c>
      <c r="L49" t="e">
        <f t="shared" si="6"/>
        <v>#N/A</v>
      </c>
      <c r="M49">
        <f t="shared" si="3"/>
        <v>0</v>
      </c>
      <c r="N49">
        <f t="shared" si="4"/>
        <v>0</v>
      </c>
      <c r="R49" t="s">
        <v>445</v>
      </c>
      <c r="S49" t="s">
        <v>553</v>
      </c>
      <c r="T49" t="s">
        <v>447</v>
      </c>
    </row>
    <row r="50" spans="1:20" x14ac:dyDescent="0.25">
      <c r="A50" s="62" t="s">
        <v>15</v>
      </c>
      <c r="B50" s="157" t="s">
        <v>14</v>
      </c>
      <c r="C50" s="157"/>
      <c r="D50" s="157"/>
      <c r="E50" s="157"/>
      <c r="F50" s="157"/>
      <c r="G50" s="62" t="s">
        <v>15</v>
      </c>
      <c r="H50" s="62" t="s">
        <v>16</v>
      </c>
      <c r="K50" s="6" t="s">
        <v>443</v>
      </c>
      <c r="L50" t="e">
        <f t="shared" si="6"/>
        <v>#N/A</v>
      </c>
      <c r="M50">
        <f t="shared" si="3"/>
        <v>0</v>
      </c>
      <c r="N50">
        <f t="shared" si="4"/>
        <v>0</v>
      </c>
      <c r="R50" t="s">
        <v>453</v>
      </c>
      <c r="S50" t="s">
        <v>554</v>
      </c>
      <c r="T50" t="s">
        <v>455</v>
      </c>
    </row>
    <row r="51" spans="1:20" x14ac:dyDescent="0.25">
      <c r="A51" t="s">
        <v>707</v>
      </c>
      <c r="B51" s="160" t="e">
        <f>VLOOKUP(A51,RN_BN!$A$3:$D$193,2,FALSE)</f>
        <v>#N/A</v>
      </c>
      <c r="C51" s="160"/>
      <c r="D51" s="160"/>
      <c r="E51" s="160"/>
      <c r="F51" s="160"/>
      <c r="G51" s="66" t="e">
        <f>$A$58</f>
        <v>#N/A</v>
      </c>
      <c r="H51" s="66" t="str">
        <f>$B$58</f>
        <v>Listado de Platillos</v>
      </c>
      <c r="K51" s="6" t="s">
        <v>445</v>
      </c>
      <c r="L51" t="str">
        <f t="shared" si="6"/>
        <v>Co_01_06</v>
      </c>
      <c r="M51" t="e">
        <f t="shared" si="3"/>
        <v>#N/A</v>
      </c>
      <c r="N51" t="str">
        <f t="shared" si="4"/>
        <v>Listado de Platillos</v>
      </c>
      <c r="R51" t="s">
        <v>454</v>
      </c>
      <c r="S51" t="s">
        <v>554</v>
      </c>
      <c r="T51" t="s">
        <v>455</v>
      </c>
    </row>
    <row r="52" spans="1:20" x14ac:dyDescent="0.25">
      <c r="A52" t="s">
        <v>192</v>
      </c>
      <c r="B52" s="160" t="e">
        <f>VLOOKUP(A52,RN_BN!$A$3:$D$193,2,FALSE)</f>
        <v>#N/A</v>
      </c>
      <c r="C52" s="160"/>
      <c r="D52" s="160"/>
      <c r="E52" s="160"/>
      <c r="F52" s="160"/>
      <c r="G52" s="66" t="e">
        <f>$A$58</f>
        <v>#N/A</v>
      </c>
      <c r="H52" s="66" t="str">
        <f>$B$58</f>
        <v>Listado de Platillos</v>
      </c>
      <c r="K52" s="6" t="s">
        <v>444</v>
      </c>
      <c r="L52" t="str">
        <f t="shared" si="6"/>
        <v>Co_01_01</v>
      </c>
      <c r="M52" t="e">
        <f t="shared" si="3"/>
        <v>#N/A</v>
      </c>
      <c r="N52" t="str">
        <f t="shared" si="4"/>
        <v>Listado de Platillos</v>
      </c>
      <c r="R52" t="s">
        <v>453</v>
      </c>
      <c r="S52" t="s">
        <v>555</v>
      </c>
      <c r="T52" t="s">
        <v>469</v>
      </c>
    </row>
    <row r="53" spans="1:20" x14ac:dyDescent="0.25">
      <c r="A53" t="s">
        <v>195</v>
      </c>
      <c r="B53" s="160" t="e">
        <f>VLOOKUP(A53,RN_BN!$A$3:$D$193,2,FALSE)</f>
        <v>#N/A</v>
      </c>
      <c r="C53" s="160"/>
      <c r="D53" s="160"/>
      <c r="E53" s="160"/>
      <c r="F53" s="160"/>
      <c r="G53" s="66" t="e">
        <f>$A$58</f>
        <v>#N/A</v>
      </c>
      <c r="H53" s="66" t="str">
        <f>$B$58</f>
        <v>Listado de Platillos</v>
      </c>
      <c r="K53" s="6" t="s">
        <v>450</v>
      </c>
      <c r="L53" t="str">
        <f t="shared" si="6"/>
        <v>Co_01_07</v>
      </c>
      <c r="M53" t="e">
        <f t="shared" si="3"/>
        <v>#N/A</v>
      </c>
      <c r="N53" t="str">
        <f>IF(ISNA(L53),,H53)</f>
        <v>Listado de Platillos</v>
      </c>
      <c r="R53" t="s">
        <v>482</v>
      </c>
      <c r="S53" t="s">
        <v>556</v>
      </c>
      <c r="T53" t="s">
        <v>483</v>
      </c>
    </row>
    <row r="54" spans="1:20" x14ac:dyDescent="0.25">
      <c r="B54" s="160"/>
      <c r="C54" s="160"/>
      <c r="D54" s="160"/>
      <c r="E54" s="160"/>
      <c r="F54" s="160"/>
      <c r="G54" s="66"/>
      <c r="H54" s="66"/>
      <c r="K54" s="6" t="s">
        <v>453</v>
      </c>
      <c r="L54" t="e">
        <f t="shared" si="6"/>
        <v>#N/A</v>
      </c>
      <c r="M54">
        <f t="shared" si="3"/>
        <v>0</v>
      </c>
      <c r="N54">
        <f t="shared" si="4"/>
        <v>0</v>
      </c>
      <c r="R54" t="s">
        <v>482</v>
      </c>
      <c r="S54" t="s">
        <v>557</v>
      </c>
      <c r="T54" t="s">
        <v>494</v>
      </c>
    </row>
    <row r="55" spans="1:20" x14ac:dyDescent="0.25">
      <c r="K55" s="6" t="s">
        <v>454</v>
      </c>
      <c r="L55" t="e">
        <f t="shared" si="6"/>
        <v>#N/A</v>
      </c>
      <c r="M55">
        <f t="shared" si="3"/>
        <v>0</v>
      </c>
      <c r="N55">
        <f t="shared" si="4"/>
        <v>0</v>
      </c>
      <c r="R55" t="s">
        <v>520</v>
      </c>
      <c r="S55" t="s">
        <v>557</v>
      </c>
      <c r="T55" t="s">
        <v>494</v>
      </c>
    </row>
    <row r="56" spans="1:20" x14ac:dyDescent="0.25">
      <c r="A56" s="157" t="s">
        <v>143</v>
      </c>
      <c r="B56" s="157"/>
      <c r="C56" s="157" t="s">
        <v>18</v>
      </c>
      <c r="D56" s="157"/>
      <c r="E56" s="157"/>
      <c r="F56" s="157"/>
      <c r="G56" s="63"/>
      <c r="H56" s="63"/>
      <c r="K56" s="6" t="s">
        <v>482</v>
      </c>
      <c r="L56" t="e">
        <f t="shared" si="6"/>
        <v>#N/A</v>
      </c>
      <c r="M56">
        <f t="shared" si="3"/>
        <v>0</v>
      </c>
      <c r="N56">
        <f t="shared" si="4"/>
        <v>0</v>
      </c>
      <c r="R56" t="s">
        <v>521</v>
      </c>
      <c r="S56" t="s">
        <v>557</v>
      </c>
      <c r="T56" t="s">
        <v>494</v>
      </c>
    </row>
    <row r="57" spans="1:20" x14ac:dyDescent="0.25">
      <c r="A57" s="62" t="s">
        <v>15</v>
      </c>
      <c r="B57" s="62" t="s">
        <v>16</v>
      </c>
      <c r="C57" s="62" t="s">
        <v>15</v>
      </c>
      <c r="D57" s="62" t="s">
        <v>14</v>
      </c>
      <c r="E57" s="62" t="s">
        <v>8</v>
      </c>
      <c r="F57" s="62" t="s">
        <v>142</v>
      </c>
      <c r="G57" s="62"/>
      <c r="H57" s="62"/>
      <c r="K57" s="6" t="s">
        <v>522</v>
      </c>
      <c r="L57" t="e">
        <f t="shared" si="6"/>
        <v>#N/A</v>
      </c>
      <c r="M57">
        <f t="shared" si="3"/>
        <v>0</v>
      </c>
      <c r="N57">
        <f t="shared" si="4"/>
        <v>0</v>
      </c>
      <c r="R57" t="s">
        <v>524</v>
      </c>
      <c r="S57" t="s">
        <v>557</v>
      </c>
      <c r="T57" t="s">
        <v>494</v>
      </c>
    </row>
    <row r="58" spans="1:20" x14ac:dyDescent="0.25">
      <c r="A58" t="e">
        <f>CONCATENATE("UI","_",F58,"_",C58)</f>
        <v>#N/A</v>
      </c>
      <c r="B58" t="s">
        <v>196</v>
      </c>
      <c r="C58" t="e">
        <f>VLOOKUP(A51,RN_BN!$A$3:$D$193,3,FALSE)</f>
        <v>#N/A</v>
      </c>
      <c r="D58" t="e">
        <f>VLOOKUP(A51,RN_BN!$A$3:$D$193,4,FALSE)</f>
        <v>#N/A</v>
      </c>
      <c r="E58" t="e">
        <f>VLOOKUP(C58,RN_BN!$C$3:$F$193,4,FALSE)</f>
        <v>#N/A</v>
      </c>
      <c r="F58" s="22" t="s">
        <v>48</v>
      </c>
      <c r="G58" s="22"/>
      <c r="H58" s="22"/>
      <c r="K58" s="6" t="s">
        <v>523</v>
      </c>
      <c r="L58" t="e">
        <f t="shared" si="6"/>
        <v>#N/A</v>
      </c>
      <c r="M58">
        <f t="shared" si="3"/>
        <v>0</v>
      </c>
      <c r="N58">
        <f t="shared" si="4"/>
        <v>0</v>
      </c>
      <c r="R58" t="s">
        <v>522</v>
      </c>
      <c r="S58" t="s">
        <v>558</v>
      </c>
      <c r="T58" t="s">
        <v>510</v>
      </c>
    </row>
    <row r="59" spans="1:20" x14ac:dyDescent="0.25">
      <c r="K59" s="6" t="s">
        <v>520</v>
      </c>
      <c r="L59" t="e">
        <f t="shared" si="6"/>
        <v>#N/A</v>
      </c>
      <c r="M59">
        <f t="shared" si="3"/>
        <v>0</v>
      </c>
      <c r="N59">
        <f t="shared" si="4"/>
        <v>0</v>
      </c>
      <c r="R59" t="s">
        <v>523</v>
      </c>
      <c r="S59" t="s">
        <v>558</v>
      </c>
      <c r="T59" t="s">
        <v>510</v>
      </c>
    </row>
    <row r="60" spans="1:20" x14ac:dyDescent="0.25">
      <c r="A60" s="62" t="s">
        <v>162</v>
      </c>
      <c r="B60" s="158" t="s">
        <v>16</v>
      </c>
      <c r="C60" s="158"/>
      <c r="D60" s="158"/>
      <c r="E60" s="158"/>
      <c r="F60" s="158"/>
      <c r="G60" s="68"/>
      <c r="H60" s="68"/>
      <c r="K60" s="6" t="s">
        <v>521</v>
      </c>
      <c r="L60" t="e">
        <f t="shared" si="6"/>
        <v>#N/A</v>
      </c>
      <c r="M60">
        <f t="shared" si="3"/>
        <v>0</v>
      </c>
      <c r="N60">
        <f t="shared" si="4"/>
        <v>0</v>
      </c>
      <c r="R60" t="s">
        <v>525</v>
      </c>
      <c r="S60" t="s">
        <v>558</v>
      </c>
      <c r="T60" t="s">
        <v>510</v>
      </c>
    </row>
    <row r="61" spans="1:20" x14ac:dyDescent="0.25">
      <c r="A61" s="24" t="s">
        <v>197</v>
      </c>
      <c r="B61" s="156" t="s">
        <v>215</v>
      </c>
      <c r="C61" s="156"/>
      <c r="D61" s="156"/>
      <c r="E61" s="156"/>
      <c r="F61" s="156"/>
      <c r="G61" s="67"/>
      <c r="H61" s="67"/>
      <c r="K61" s="6" t="s">
        <v>524</v>
      </c>
      <c r="L61" t="e">
        <f t="shared" ref="L61:L124" si="7">IF(VLOOKUP(A61,$K$3:$K$82,1,FALSE)=A61,A61)</f>
        <v>#N/A</v>
      </c>
      <c r="M61">
        <f t="shared" si="3"/>
        <v>0</v>
      </c>
      <c r="N61">
        <f t="shared" si="4"/>
        <v>0</v>
      </c>
      <c r="R61" t="s">
        <v>527</v>
      </c>
      <c r="S61" t="s">
        <v>558</v>
      </c>
      <c r="T61" t="s">
        <v>510</v>
      </c>
    </row>
    <row r="62" spans="1:20" x14ac:dyDescent="0.25">
      <c r="A62" s="24" t="s">
        <v>198</v>
      </c>
      <c r="B62" s="156" t="s">
        <v>216</v>
      </c>
      <c r="C62" s="156"/>
      <c r="D62" s="156"/>
      <c r="E62" s="156"/>
      <c r="F62" s="156"/>
      <c r="G62" s="67"/>
      <c r="H62" s="67"/>
      <c r="K62" s="6" t="s">
        <v>527</v>
      </c>
      <c r="L62" t="e">
        <f t="shared" si="7"/>
        <v>#N/A</v>
      </c>
      <c r="M62">
        <f t="shared" si="3"/>
        <v>0</v>
      </c>
      <c r="N62">
        <f t="shared" si="4"/>
        <v>0</v>
      </c>
      <c r="R62" t="s">
        <v>526</v>
      </c>
      <c r="S62" t="s">
        <v>558</v>
      </c>
      <c r="T62" t="s">
        <v>510</v>
      </c>
    </row>
    <row r="63" spans="1:20" x14ac:dyDescent="0.25">
      <c r="A63" s="24" t="s">
        <v>199</v>
      </c>
      <c r="B63" s="156" t="s">
        <v>217</v>
      </c>
      <c r="C63" s="156"/>
      <c r="D63" s="156"/>
      <c r="E63" s="156"/>
      <c r="F63" s="156"/>
      <c r="G63" s="67"/>
      <c r="H63" s="67"/>
      <c r="K63" s="6" t="s">
        <v>525</v>
      </c>
      <c r="L63" t="e">
        <f t="shared" si="7"/>
        <v>#N/A</v>
      </c>
      <c r="M63">
        <f t="shared" si="3"/>
        <v>0</v>
      </c>
      <c r="N63">
        <f t="shared" si="4"/>
        <v>0</v>
      </c>
      <c r="R63" t="s">
        <v>530</v>
      </c>
      <c r="S63" t="s">
        <v>558</v>
      </c>
      <c r="T63" t="s">
        <v>510</v>
      </c>
    </row>
    <row r="64" spans="1:20" x14ac:dyDescent="0.25">
      <c r="A64" s="24" t="s">
        <v>200</v>
      </c>
      <c r="B64" s="156" t="s">
        <v>218</v>
      </c>
      <c r="C64" s="156"/>
      <c r="D64" s="156"/>
      <c r="E64" s="156"/>
      <c r="F64" s="156"/>
      <c r="G64" s="67"/>
      <c r="H64" s="67"/>
      <c r="K64" s="6" t="s">
        <v>526</v>
      </c>
      <c r="L64" t="e">
        <f t="shared" si="7"/>
        <v>#N/A</v>
      </c>
      <c r="M64">
        <f t="shared" si="3"/>
        <v>0</v>
      </c>
      <c r="N64">
        <f t="shared" si="4"/>
        <v>0</v>
      </c>
      <c r="R64" t="s">
        <v>529</v>
      </c>
      <c r="S64" t="s">
        <v>559</v>
      </c>
      <c r="T64" t="s">
        <v>531</v>
      </c>
    </row>
    <row r="65" spans="1:20" x14ac:dyDescent="0.25">
      <c r="A65" s="24" t="s">
        <v>201</v>
      </c>
      <c r="B65" s="156" t="s">
        <v>219</v>
      </c>
      <c r="C65" s="156"/>
      <c r="D65" s="156"/>
      <c r="E65" s="156"/>
      <c r="F65" s="156"/>
      <c r="G65" s="67"/>
      <c r="H65" s="67"/>
      <c r="K65" s="6" t="s">
        <v>753</v>
      </c>
      <c r="L65" t="e">
        <f t="shared" si="7"/>
        <v>#N/A</v>
      </c>
      <c r="M65">
        <f t="shared" si="3"/>
        <v>0</v>
      </c>
      <c r="N65">
        <f t="shared" si="4"/>
        <v>0</v>
      </c>
      <c r="R65" t="s">
        <v>570</v>
      </c>
      <c r="S65" t="s">
        <v>605</v>
      </c>
      <c r="T65" t="s">
        <v>571</v>
      </c>
    </row>
    <row r="66" spans="1:20" x14ac:dyDescent="0.25">
      <c r="A66" s="24" t="s">
        <v>202</v>
      </c>
      <c r="B66" s="156" t="s">
        <v>220</v>
      </c>
      <c r="C66" s="156"/>
      <c r="D66" s="156"/>
      <c r="E66" s="156"/>
      <c r="F66" s="156"/>
      <c r="G66" s="67"/>
      <c r="H66" s="67"/>
      <c r="K66" s="6" t="s">
        <v>754</v>
      </c>
      <c r="L66" t="e">
        <f t="shared" si="7"/>
        <v>#N/A</v>
      </c>
      <c r="M66">
        <f t="shared" si="3"/>
        <v>0</v>
      </c>
      <c r="N66">
        <f t="shared" si="4"/>
        <v>0</v>
      </c>
      <c r="R66" t="s">
        <v>141</v>
      </c>
      <c r="S66" t="s">
        <v>605</v>
      </c>
      <c r="T66" t="s">
        <v>571</v>
      </c>
    </row>
    <row r="67" spans="1:20" x14ac:dyDescent="0.25">
      <c r="A67" s="24" t="s">
        <v>203</v>
      </c>
      <c r="B67" s="156" t="s">
        <v>221</v>
      </c>
      <c r="C67" s="156"/>
      <c r="D67" s="156"/>
      <c r="E67" s="156"/>
      <c r="F67" s="156"/>
      <c r="G67" s="67"/>
      <c r="H67" s="67"/>
      <c r="K67" s="6" t="s">
        <v>755</v>
      </c>
      <c r="L67" t="e">
        <f t="shared" si="7"/>
        <v>#N/A</v>
      </c>
      <c r="M67">
        <f t="shared" ref="M67:M130" si="8">IF(ISNA(L67),,G67)</f>
        <v>0</v>
      </c>
      <c r="N67">
        <f t="shared" si="4"/>
        <v>0</v>
      </c>
      <c r="R67" t="s">
        <v>710</v>
      </c>
      <c r="S67" t="s">
        <v>782</v>
      </c>
      <c r="T67" t="s">
        <v>711</v>
      </c>
    </row>
    <row r="68" spans="1:20" x14ac:dyDescent="0.25">
      <c r="A68" s="24" t="s">
        <v>204</v>
      </c>
      <c r="B68" s="156" t="s">
        <v>223</v>
      </c>
      <c r="C68" s="156"/>
      <c r="D68" s="156"/>
      <c r="E68" s="156"/>
      <c r="F68" s="156"/>
      <c r="G68" s="67"/>
      <c r="H68" s="67"/>
      <c r="K68" s="6" t="s">
        <v>756</v>
      </c>
      <c r="L68" t="e">
        <f t="shared" si="7"/>
        <v>#N/A</v>
      </c>
      <c r="M68">
        <f t="shared" si="8"/>
        <v>0</v>
      </c>
      <c r="N68">
        <f t="shared" si="4"/>
        <v>0</v>
      </c>
      <c r="R68" t="s">
        <v>710</v>
      </c>
      <c r="S68" t="s">
        <v>783</v>
      </c>
      <c r="T68" t="s">
        <v>711</v>
      </c>
    </row>
    <row r="69" spans="1:20" x14ac:dyDescent="0.25">
      <c r="A69" s="24" t="s">
        <v>205</v>
      </c>
      <c r="B69" s="156" t="s">
        <v>222</v>
      </c>
      <c r="C69" s="156"/>
      <c r="D69" s="156"/>
      <c r="E69" s="156"/>
      <c r="F69" s="156"/>
      <c r="G69" s="67"/>
      <c r="H69" s="67"/>
      <c r="K69" s="6" t="s">
        <v>757</v>
      </c>
      <c r="L69" t="e">
        <f t="shared" si="7"/>
        <v>#N/A</v>
      </c>
      <c r="M69">
        <f t="shared" si="8"/>
        <v>0</v>
      </c>
      <c r="N69">
        <f t="shared" si="4"/>
        <v>0</v>
      </c>
      <c r="R69" t="s">
        <v>747</v>
      </c>
      <c r="S69" t="s">
        <v>784</v>
      </c>
      <c r="T69" t="s">
        <v>774</v>
      </c>
    </row>
    <row r="70" spans="1:20" x14ac:dyDescent="0.25">
      <c r="A70" s="24" t="s">
        <v>206</v>
      </c>
      <c r="B70" s="156" t="s">
        <v>224</v>
      </c>
      <c r="C70" s="156"/>
      <c r="D70" s="156"/>
      <c r="E70" s="156"/>
      <c r="F70" s="156"/>
      <c r="G70" s="67"/>
      <c r="H70" s="67"/>
      <c r="K70" s="6" t="s">
        <v>758</v>
      </c>
      <c r="L70" t="e">
        <f t="shared" si="7"/>
        <v>#N/A</v>
      </c>
      <c r="M70">
        <f t="shared" si="8"/>
        <v>0</v>
      </c>
      <c r="N70">
        <f t="shared" si="4"/>
        <v>0</v>
      </c>
      <c r="R70" t="s">
        <v>749</v>
      </c>
      <c r="S70" t="s">
        <v>784</v>
      </c>
      <c r="T70" t="s">
        <v>774</v>
      </c>
    </row>
    <row r="71" spans="1:20" x14ac:dyDescent="0.25">
      <c r="A71" s="24" t="s">
        <v>207</v>
      </c>
      <c r="B71" s="156" t="s">
        <v>225</v>
      </c>
      <c r="C71" s="156"/>
      <c r="D71" s="156"/>
      <c r="E71" s="156"/>
      <c r="F71" s="156"/>
      <c r="G71" s="67"/>
      <c r="H71" s="67"/>
      <c r="K71" s="6" t="s">
        <v>759</v>
      </c>
      <c r="L71" t="e">
        <f t="shared" si="7"/>
        <v>#N/A</v>
      </c>
      <c r="M71">
        <f t="shared" si="8"/>
        <v>0</v>
      </c>
      <c r="N71">
        <f t="shared" si="4"/>
        <v>0</v>
      </c>
      <c r="R71" t="s">
        <v>773</v>
      </c>
      <c r="S71" t="s">
        <v>784</v>
      </c>
      <c r="T71" t="s">
        <v>774</v>
      </c>
    </row>
    <row r="72" spans="1:20" x14ac:dyDescent="0.25">
      <c r="A72" s="24" t="s">
        <v>208</v>
      </c>
      <c r="B72" s="156" t="s">
        <v>226</v>
      </c>
      <c r="C72" s="156"/>
      <c r="D72" s="156"/>
      <c r="E72" s="156"/>
      <c r="F72" s="156"/>
      <c r="G72" s="67"/>
      <c r="H72" s="67"/>
      <c r="K72" s="6" t="s">
        <v>760</v>
      </c>
      <c r="L72" t="e">
        <f t="shared" si="7"/>
        <v>#N/A</v>
      </c>
      <c r="M72">
        <f t="shared" si="8"/>
        <v>0</v>
      </c>
      <c r="N72">
        <f t="shared" si="4"/>
        <v>0</v>
      </c>
    </row>
    <row r="73" spans="1:20" x14ac:dyDescent="0.25">
      <c r="A73" s="24" t="s">
        <v>209</v>
      </c>
      <c r="B73" s="156" t="s">
        <v>227</v>
      </c>
      <c r="C73" s="156"/>
      <c r="D73" s="156"/>
      <c r="E73" s="156"/>
      <c r="F73" s="156"/>
      <c r="G73" s="67"/>
      <c r="H73" s="67"/>
      <c r="K73" s="6" t="s">
        <v>761</v>
      </c>
      <c r="L73" t="e">
        <f t="shared" si="7"/>
        <v>#N/A</v>
      </c>
      <c r="M73">
        <f t="shared" si="8"/>
        <v>0</v>
      </c>
      <c r="N73">
        <f t="shared" si="4"/>
        <v>0</v>
      </c>
    </row>
    <row r="74" spans="1:20" x14ac:dyDescent="0.25">
      <c r="A74" s="24" t="s">
        <v>210</v>
      </c>
      <c r="B74" s="156" t="s">
        <v>228</v>
      </c>
      <c r="C74" s="156"/>
      <c r="D74" s="156"/>
      <c r="E74" s="156"/>
      <c r="F74" s="156"/>
      <c r="G74" s="67"/>
      <c r="H74" s="67"/>
      <c r="K74" s="6" t="s">
        <v>762</v>
      </c>
      <c r="L74" t="e">
        <f t="shared" si="7"/>
        <v>#N/A</v>
      </c>
      <c r="M74">
        <f t="shared" si="8"/>
        <v>0</v>
      </c>
      <c r="N74">
        <f t="shared" si="4"/>
        <v>0</v>
      </c>
    </row>
    <row r="75" spans="1:20" x14ac:dyDescent="0.25">
      <c r="A75" s="24" t="s">
        <v>211</v>
      </c>
      <c r="B75" s="156" t="s">
        <v>229</v>
      </c>
      <c r="C75" s="156"/>
      <c r="D75" s="156"/>
      <c r="E75" s="156"/>
      <c r="F75" s="156"/>
      <c r="G75" s="67"/>
      <c r="H75" s="67"/>
      <c r="K75" s="6" t="s">
        <v>751</v>
      </c>
      <c r="L75" t="e">
        <f t="shared" si="7"/>
        <v>#N/A</v>
      </c>
      <c r="M75">
        <f t="shared" si="8"/>
        <v>0</v>
      </c>
      <c r="N75">
        <f t="shared" si="4"/>
        <v>0</v>
      </c>
    </row>
    <row r="76" spans="1:20" x14ac:dyDescent="0.25">
      <c r="A76" s="24" t="s">
        <v>212</v>
      </c>
      <c r="B76" s="156" t="s">
        <v>230</v>
      </c>
      <c r="C76" s="156"/>
      <c r="D76" s="156"/>
      <c r="E76" s="156"/>
      <c r="F76" s="156"/>
      <c r="G76" s="67"/>
      <c r="H76" s="67"/>
      <c r="K76" s="6" t="s">
        <v>730</v>
      </c>
      <c r="L76" t="e">
        <f t="shared" si="7"/>
        <v>#N/A</v>
      </c>
      <c r="M76">
        <f t="shared" si="8"/>
        <v>0</v>
      </c>
      <c r="N76">
        <f t="shared" ref="N76:N140" si="9">IF(ISNA(L76),,H76)</f>
        <v>0</v>
      </c>
    </row>
    <row r="77" spans="1:20" x14ac:dyDescent="0.25">
      <c r="K77" t="s">
        <v>757</v>
      </c>
      <c r="L77" t="e">
        <f t="shared" si="7"/>
        <v>#N/A</v>
      </c>
      <c r="M77">
        <f t="shared" si="8"/>
        <v>0</v>
      </c>
      <c r="N77">
        <f t="shared" si="9"/>
        <v>0</v>
      </c>
    </row>
    <row r="78" spans="1:20" x14ac:dyDescent="0.25">
      <c r="A78" s="62" t="s">
        <v>163</v>
      </c>
      <c r="B78" s="158" t="s">
        <v>16</v>
      </c>
      <c r="C78" s="158"/>
      <c r="D78" s="158"/>
      <c r="E78" s="158"/>
      <c r="F78" s="158"/>
      <c r="G78" s="68"/>
      <c r="H78" s="68"/>
      <c r="K78" t="s">
        <v>758</v>
      </c>
      <c r="L78" t="e">
        <f t="shared" si="7"/>
        <v>#N/A</v>
      </c>
      <c r="M78">
        <f t="shared" si="8"/>
        <v>0</v>
      </c>
      <c r="N78">
        <f t="shared" si="9"/>
        <v>0</v>
      </c>
    </row>
    <row r="79" spans="1:20" x14ac:dyDescent="0.25">
      <c r="A79" s="24" t="s">
        <v>606</v>
      </c>
      <c r="B79" s="161" t="s">
        <v>607</v>
      </c>
      <c r="C79" s="161"/>
      <c r="D79" s="161"/>
      <c r="E79" s="161"/>
      <c r="F79" s="161"/>
      <c r="G79" s="69"/>
      <c r="H79" s="69"/>
      <c r="K79" t="s">
        <v>759</v>
      </c>
      <c r="L79" t="e">
        <f t="shared" si="7"/>
        <v>#N/A</v>
      </c>
      <c r="M79">
        <f t="shared" si="8"/>
        <v>0</v>
      </c>
      <c r="N79">
        <f t="shared" si="9"/>
        <v>0</v>
      </c>
    </row>
    <row r="80" spans="1:20" x14ac:dyDescent="0.25">
      <c r="A80" s="24" t="s">
        <v>213</v>
      </c>
      <c r="B80" s="161" t="e">
        <f>"Redirecciona la acción a la pantalla " &amp;A16&amp; ", asociando la categoría que corresponda"</f>
        <v>#N/A</v>
      </c>
      <c r="C80" s="161"/>
      <c r="D80" s="161"/>
      <c r="E80" s="161"/>
      <c r="F80" s="161"/>
      <c r="G80" s="69"/>
      <c r="H80" s="69"/>
      <c r="K80" t="s">
        <v>760</v>
      </c>
      <c r="L80" t="e">
        <f t="shared" si="7"/>
        <v>#N/A</v>
      </c>
      <c r="M80">
        <f t="shared" si="8"/>
        <v>0</v>
      </c>
      <c r="N80">
        <f t="shared" si="9"/>
        <v>0</v>
      </c>
    </row>
    <row r="81" spans="1:14" x14ac:dyDescent="0.25">
      <c r="A81" s="24" t="s">
        <v>214</v>
      </c>
      <c r="B81" s="161" t="s">
        <v>259</v>
      </c>
      <c r="C81" s="161"/>
      <c r="D81" s="161"/>
      <c r="E81" s="161"/>
      <c r="F81" s="161"/>
      <c r="G81" s="69"/>
      <c r="H81" s="69"/>
      <c r="K81" t="s">
        <v>761</v>
      </c>
      <c r="L81" t="e">
        <f t="shared" si="7"/>
        <v>#N/A</v>
      </c>
      <c r="M81">
        <f t="shared" si="8"/>
        <v>0</v>
      </c>
      <c r="N81">
        <f t="shared" si="9"/>
        <v>0</v>
      </c>
    </row>
    <row r="82" spans="1:14" x14ac:dyDescent="0.25">
      <c r="A82" s="24" t="s">
        <v>596</v>
      </c>
      <c r="B82" s="161" t="s">
        <v>598</v>
      </c>
      <c r="C82" s="161"/>
      <c r="D82" s="161"/>
      <c r="E82" s="161"/>
      <c r="F82" s="161"/>
      <c r="G82" s="69"/>
      <c r="H82" s="69"/>
      <c r="K82" t="s">
        <v>762</v>
      </c>
      <c r="L82" t="e">
        <f t="shared" si="7"/>
        <v>#N/A</v>
      </c>
      <c r="M82">
        <f t="shared" si="8"/>
        <v>0</v>
      </c>
      <c r="N82">
        <f t="shared" si="9"/>
        <v>0</v>
      </c>
    </row>
    <row r="83" spans="1:14" x14ac:dyDescent="0.25">
      <c r="L83" t="e">
        <f t="shared" si="7"/>
        <v>#N/A</v>
      </c>
      <c r="M83">
        <f t="shared" si="8"/>
        <v>0</v>
      </c>
      <c r="N83">
        <f t="shared" si="9"/>
        <v>0</v>
      </c>
    </row>
    <row r="84" spans="1:14" x14ac:dyDescent="0.25">
      <c r="L84" t="e">
        <f t="shared" si="7"/>
        <v>#N/A</v>
      </c>
      <c r="M84">
        <f t="shared" si="8"/>
        <v>0</v>
      </c>
      <c r="N84">
        <f t="shared" si="9"/>
        <v>0</v>
      </c>
    </row>
    <row r="85" spans="1:14" x14ac:dyDescent="0.25">
      <c r="A85" s="159" t="s">
        <v>19</v>
      </c>
      <c r="B85" s="159"/>
      <c r="C85" s="159"/>
      <c r="D85" s="159"/>
      <c r="E85" s="159"/>
      <c r="F85" s="159"/>
      <c r="G85" s="65"/>
      <c r="H85" s="65"/>
      <c r="L85" t="e">
        <f t="shared" si="7"/>
        <v>#N/A</v>
      </c>
      <c r="M85">
        <f t="shared" si="8"/>
        <v>0</v>
      </c>
      <c r="N85">
        <f t="shared" si="9"/>
        <v>0</v>
      </c>
    </row>
    <row r="86" spans="1:14" x14ac:dyDescent="0.25">
      <c r="A86" s="62" t="s">
        <v>15</v>
      </c>
      <c r="B86" s="157" t="s">
        <v>14</v>
      </c>
      <c r="C86" s="157"/>
      <c r="D86" s="157"/>
      <c r="E86" s="157"/>
      <c r="F86" s="157"/>
      <c r="G86" s="62" t="s">
        <v>15</v>
      </c>
      <c r="H86" s="62" t="s">
        <v>16</v>
      </c>
      <c r="L86" t="e">
        <f t="shared" si="7"/>
        <v>#N/A</v>
      </c>
      <c r="M86">
        <f t="shared" si="8"/>
        <v>0</v>
      </c>
      <c r="N86">
        <f t="shared" si="9"/>
        <v>0</v>
      </c>
    </row>
    <row r="87" spans="1:14" x14ac:dyDescent="0.25">
      <c r="A87" t="s">
        <v>253</v>
      </c>
      <c r="B87" s="160" t="e">
        <f>VLOOKUP(A87,RN_BN!$A$3:$D$193,2,FALSE)</f>
        <v>#N/A</v>
      </c>
      <c r="C87" s="160"/>
      <c r="D87" s="160"/>
      <c r="E87" s="160"/>
      <c r="F87" s="160"/>
      <c r="G87" s="66" t="e">
        <f t="shared" ref="G87:G92" si="10">$A$97</f>
        <v>#N/A</v>
      </c>
      <c r="H87" s="66" t="str">
        <f t="shared" ref="H87:H92" si="11">$B$97</f>
        <v>Plantilla de Mercancías</v>
      </c>
      <c r="L87" t="str">
        <f t="shared" si="7"/>
        <v>Co_03_01</v>
      </c>
      <c r="M87" t="e">
        <f t="shared" si="8"/>
        <v>#N/A</v>
      </c>
      <c r="N87" t="str">
        <f t="shared" si="9"/>
        <v>Plantilla de Mercancías</v>
      </c>
    </row>
    <row r="88" spans="1:14" x14ac:dyDescent="0.25">
      <c r="A88" t="s">
        <v>254</v>
      </c>
      <c r="B88" s="160" t="str">
        <f>VLOOKUP(A88,RN_BN!$A$3:$D$193,2,FALSE)</f>
        <v>El sistema tendrá que proporcionar una forma de hacer carga de datos de un archivo de excel para facilitar la captura de mercaderías</v>
      </c>
      <c r="C88" s="160"/>
      <c r="D88" s="160"/>
      <c r="E88" s="160"/>
      <c r="F88" s="160"/>
      <c r="G88" s="66" t="e">
        <f t="shared" si="10"/>
        <v>#N/A</v>
      </c>
      <c r="H88" s="66" t="str">
        <f t="shared" si="11"/>
        <v>Plantilla de Mercancías</v>
      </c>
      <c r="L88" t="str">
        <f t="shared" si="7"/>
        <v>Co_03_03</v>
      </c>
      <c r="M88" t="e">
        <f t="shared" si="8"/>
        <v>#N/A</v>
      </c>
      <c r="N88" t="str">
        <f t="shared" si="9"/>
        <v>Plantilla de Mercancías</v>
      </c>
    </row>
    <row r="89" spans="1:14" x14ac:dyDescent="0.25">
      <c r="A89" t="s">
        <v>255</v>
      </c>
      <c r="B89" s="160" t="e">
        <f>VLOOKUP(A89,RN_BN!$A$3:$D$193,2,FALSE)</f>
        <v>#N/A</v>
      </c>
      <c r="C89" s="160"/>
      <c r="D89" s="160"/>
      <c r="E89" s="160"/>
      <c r="F89" s="160"/>
      <c r="G89" s="66" t="e">
        <f t="shared" si="10"/>
        <v>#N/A</v>
      </c>
      <c r="H89" s="66" t="str">
        <f t="shared" si="11"/>
        <v>Plantilla de Mercancías</v>
      </c>
      <c r="L89" t="str">
        <f t="shared" si="7"/>
        <v>Co_03_05</v>
      </c>
      <c r="M89" t="e">
        <f t="shared" si="8"/>
        <v>#N/A</v>
      </c>
      <c r="N89" t="str">
        <f t="shared" si="9"/>
        <v>Plantilla de Mercancías</v>
      </c>
    </row>
    <row r="90" spans="1:14" x14ac:dyDescent="0.25">
      <c r="A90" t="s">
        <v>258</v>
      </c>
      <c r="B90" s="160" t="e">
        <f>VLOOKUP(A90,RN_BN!$A$3:$D$193,2,FALSE)</f>
        <v>#N/A</v>
      </c>
      <c r="C90" s="160"/>
      <c r="D90" s="160"/>
      <c r="E90" s="160"/>
      <c r="F90" s="160"/>
      <c r="G90" s="66" t="e">
        <f t="shared" si="10"/>
        <v>#N/A</v>
      </c>
      <c r="H90" s="66" t="str">
        <f t="shared" si="11"/>
        <v>Plantilla de Mercancías</v>
      </c>
      <c r="L90" t="str">
        <f t="shared" si="7"/>
        <v>Co_03_04</v>
      </c>
      <c r="M90" t="e">
        <f t="shared" si="8"/>
        <v>#N/A</v>
      </c>
      <c r="N90" t="str">
        <f t="shared" si="9"/>
        <v>Plantilla de Mercancías</v>
      </c>
    </row>
    <row r="91" spans="1:14" x14ac:dyDescent="0.25">
      <c r="A91" t="s">
        <v>257</v>
      </c>
      <c r="B91" s="160" t="str">
        <f>VLOOKUP(A91,RN_BN!$A$3:$D$193,2,FALSE)</f>
        <v>Dentro de la información del catálogo de mercancías se podrá especificar el numero de días antes de la caducidad para que el usuario sea informado.</v>
      </c>
      <c r="C91" s="160"/>
      <c r="D91" s="160"/>
      <c r="E91" s="160"/>
      <c r="F91" s="160"/>
      <c r="G91" s="66" t="e">
        <f t="shared" si="10"/>
        <v>#N/A</v>
      </c>
      <c r="H91" s="66" t="str">
        <f t="shared" si="11"/>
        <v>Plantilla de Mercancías</v>
      </c>
      <c r="L91" t="str">
        <f t="shared" si="7"/>
        <v>Co_03_06</v>
      </c>
      <c r="M91" t="e">
        <f t="shared" si="8"/>
        <v>#N/A</v>
      </c>
      <c r="N91" t="str">
        <f t="shared" si="9"/>
        <v>Plantilla de Mercancías</v>
      </c>
    </row>
    <row r="92" spans="1:14" x14ac:dyDescent="0.25">
      <c r="A92" t="s">
        <v>344</v>
      </c>
      <c r="B92" s="160" t="e">
        <f>VLOOKUP(A92,RN_BN!$A$3:$D$193,2,FALSE)</f>
        <v>#N/A</v>
      </c>
      <c r="C92" s="160"/>
      <c r="D92" s="160"/>
      <c r="E92" s="160"/>
      <c r="F92" s="160"/>
      <c r="G92" s="66" t="e">
        <f t="shared" si="10"/>
        <v>#N/A</v>
      </c>
      <c r="H92" s="66" t="str">
        <f t="shared" si="11"/>
        <v>Plantilla de Mercancías</v>
      </c>
      <c r="L92" t="str">
        <f t="shared" si="7"/>
        <v>Co_03_08</v>
      </c>
      <c r="M92" t="e">
        <f t="shared" si="8"/>
        <v>#N/A</v>
      </c>
      <c r="N92" t="str">
        <f t="shared" si="9"/>
        <v>Plantilla de Mercancías</v>
      </c>
    </row>
    <row r="93" spans="1:14" x14ac:dyDescent="0.25">
      <c r="B93" s="160"/>
      <c r="C93" s="160"/>
      <c r="D93" s="160"/>
      <c r="E93" s="160"/>
      <c r="F93" s="160"/>
      <c r="G93" s="66"/>
      <c r="H93" s="66"/>
      <c r="L93" t="e">
        <f t="shared" si="7"/>
        <v>#N/A</v>
      </c>
      <c r="M93">
        <f t="shared" si="8"/>
        <v>0</v>
      </c>
      <c r="N93">
        <f t="shared" si="9"/>
        <v>0</v>
      </c>
    </row>
    <row r="94" spans="1:14" x14ac:dyDescent="0.25">
      <c r="L94" t="e">
        <f t="shared" si="7"/>
        <v>#N/A</v>
      </c>
      <c r="M94">
        <f t="shared" si="8"/>
        <v>0</v>
      </c>
      <c r="N94">
        <f t="shared" si="9"/>
        <v>0</v>
      </c>
    </row>
    <row r="95" spans="1:14" x14ac:dyDescent="0.25">
      <c r="A95" s="157" t="s">
        <v>143</v>
      </c>
      <c r="B95" s="157"/>
      <c r="C95" s="157" t="s">
        <v>18</v>
      </c>
      <c r="D95" s="157"/>
      <c r="E95" s="157"/>
      <c r="F95" s="157"/>
      <c r="G95" s="63"/>
      <c r="H95" s="63"/>
      <c r="L95" t="e">
        <f t="shared" si="7"/>
        <v>#N/A</v>
      </c>
      <c r="M95">
        <f t="shared" si="8"/>
        <v>0</v>
      </c>
      <c r="N95">
        <f t="shared" si="9"/>
        <v>0</v>
      </c>
    </row>
    <row r="96" spans="1:14" x14ac:dyDescent="0.25">
      <c r="A96" s="62" t="s">
        <v>15</v>
      </c>
      <c r="B96" s="62" t="s">
        <v>16</v>
      </c>
      <c r="C96" s="62" t="s">
        <v>15</v>
      </c>
      <c r="D96" s="62" t="s">
        <v>14</v>
      </c>
      <c r="E96" s="62" t="s">
        <v>8</v>
      </c>
      <c r="F96" s="62" t="s">
        <v>142</v>
      </c>
      <c r="G96" s="62"/>
      <c r="H96" s="62"/>
      <c r="L96" t="e">
        <f t="shared" si="7"/>
        <v>#N/A</v>
      </c>
      <c r="M96">
        <f t="shared" si="8"/>
        <v>0</v>
      </c>
      <c r="N96">
        <f t="shared" si="9"/>
        <v>0</v>
      </c>
    </row>
    <row r="97" spans="1:14" x14ac:dyDescent="0.25">
      <c r="A97" t="e">
        <f>CONCATENATE("Pla","_",F97,"_",C97)</f>
        <v>#N/A</v>
      </c>
      <c r="B97" t="s">
        <v>232</v>
      </c>
      <c r="C97" t="e">
        <f>VLOOKUP(A87,RN_BN!$A$3:$D$193,3,FALSE)</f>
        <v>#N/A</v>
      </c>
      <c r="D97" t="e">
        <f>VLOOKUP(A87,RN_BN!$A$3:$D$193,4,FALSE)</f>
        <v>#N/A</v>
      </c>
      <c r="E97" t="e">
        <f>VLOOKUP(C97,RN_BN!$C$3:$F$193,4,FALSE)</f>
        <v>#N/A</v>
      </c>
      <c r="F97" s="22" t="s">
        <v>47</v>
      </c>
      <c r="G97" s="22"/>
      <c r="H97" s="22"/>
      <c r="L97" t="e">
        <f t="shared" si="7"/>
        <v>#N/A</v>
      </c>
      <c r="M97">
        <f t="shared" si="8"/>
        <v>0</v>
      </c>
      <c r="N97">
        <f t="shared" si="9"/>
        <v>0</v>
      </c>
    </row>
    <row r="98" spans="1:14" x14ac:dyDescent="0.25">
      <c r="L98" t="e">
        <f t="shared" si="7"/>
        <v>#N/A</v>
      </c>
      <c r="M98">
        <f t="shared" si="8"/>
        <v>0</v>
      </c>
      <c r="N98">
        <f t="shared" si="9"/>
        <v>0</v>
      </c>
    </row>
    <row r="99" spans="1:14" x14ac:dyDescent="0.25">
      <c r="A99" s="62" t="s">
        <v>162</v>
      </c>
      <c r="B99" s="158" t="s">
        <v>16</v>
      </c>
      <c r="C99" s="158"/>
      <c r="D99" s="158"/>
      <c r="E99" s="158"/>
      <c r="F99" s="158"/>
      <c r="G99" s="68"/>
      <c r="H99" s="68"/>
      <c r="L99" t="e">
        <f t="shared" si="7"/>
        <v>#N/A</v>
      </c>
      <c r="M99">
        <f t="shared" si="8"/>
        <v>0</v>
      </c>
      <c r="N99">
        <f t="shared" si="9"/>
        <v>0</v>
      </c>
    </row>
    <row r="100" spans="1:14" x14ac:dyDescent="0.25">
      <c r="A100" s="24" t="s">
        <v>239</v>
      </c>
      <c r="B100" s="162" t="s">
        <v>241</v>
      </c>
      <c r="C100" s="156"/>
      <c r="D100" s="156"/>
      <c r="E100" s="156"/>
      <c r="F100" s="156"/>
      <c r="G100" s="67"/>
      <c r="H100" s="67"/>
      <c r="L100" t="e">
        <f t="shared" si="7"/>
        <v>#N/A</v>
      </c>
      <c r="M100">
        <f t="shared" si="8"/>
        <v>0</v>
      </c>
      <c r="N100">
        <f t="shared" si="9"/>
        <v>0</v>
      </c>
    </row>
    <row r="101" spans="1:14" x14ac:dyDescent="0.25">
      <c r="A101" s="24" t="s">
        <v>240</v>
      </c>
      <c r="B101" s="162" t="s">
        <v>242</v>
      </c>
      <c r="C101" s="156"/>
      <c r="D101" s="156"/>
      <c r="E101" s="156"/>
      <c r="F101" s="156"/>
      <c r="G101" s="67"/>
      <c r="H101" s="67"/>
      <c r="L101" t="e">
        <f t="shared" si="7"/>
        <v>#N/A</v>
      </c>
      <c r="M101">
        <f t="shared" si="8"/>
        <v>0</v>
      </c>
      <c r="N101">
        <f t="shared" si="9"/>
        <v>0</v>
      </c>
    </row>
    <row r="102" spans="1:14" x14ac:dyDescent="0.25">
      <c r="A102" s="24" t="s">
        <v>14</v>
      </c>
      <c r="B102" s="156" t="s">
        <v>243</v>
      </c>
      <c r="C102" s="156"/>
      <c r="D102" s="156"/>
      <c r="E102" s="156"/>
      <c r="F102" s="156"/>
      <c r="G102" s="67"/>
      <c r="H102" s="67"/>
      <c r="L102" t="e">
        <f t="shared" si="7"/>
        <v>#N/A</v>
      </c>
      <c r="M102">
        <f t="shared" si="8"/>
        <v>0</v>
      </c>
      <c r="N102">
        <f t="shared" si="9"/>
        <v>0</v>
      </c>
    </row>
    <row r="103" spans="1:14" x14ac:dyDescent="0.25">
      <c r="A103" s="24" t="s">
        <v>410</v>
      </c>
      <c r="B103" s="156" t="s">
        <v>411</v>
      </c>
      <c r="C103" s="156"/>
      <c r="D103" s="156"/>
      <c r="E103" s="156"/>
      <c r="F103" s="156"/>
      <c r="G103" s="67"/>
      <c r="H103" s="67"/>
      <c r="L103" t="e">
        <f t="shared" si="7"/>
        <v>#N/A</v>
      </c>
      <c r="M103">
        <f t="shared" si="8"/>
        <v>0</v>
      </c>
      <c r="N103">
        <f t="shared" si="9"/>
        <v>0</v>
      </c>
    </row>
    <row r="104" spans="1:14" x14ac:dyDescent="0.25">
      <c r="A104" s="24" t="s">
        <v>233</v>
      </c>
      <c r="B104" s="156" t="s">
        <v>244</v>
      </c>
      <c r="C104" s="156"/>
      <c r="D104" s="156"/>
      <c r="E104" s="156"/>
      <c r="F104" s="156"/>
      <c r="G104" s="67"/>
      <c r="H104" s="67"/>
      <c r="L104" t="e">
        <f t="shared" si="7"/>
        <v>#N/A</v>
      </c>
      <c r="M104">
        <f t="shared" si="8"/>
        <v>0</v>
      </c>
      <c r="N104">
        <f t="shared" si="9"/>
        <v>0</v>
      </c>
    </row>
    <row r="105" spans="1:14" x14ac:dyDescent="0.25">
      <c r="A105" s="24" t="s">
        <v>234</v>
      </c>
      <c r="B105" s="156" t="s">
        <v>245</v>
      </c>
      <c r="C105" s="156"/>
      <c r="D105" s="156"/>
      <c r="E105" s="156"/>
      <c r="F105" s="156"/>
      <c r="G105" s="67"/>
      <c r="H105" s="67"/>
      <c r="L105" t="e">
        <f t="shared" si="7"/>
        <v>#N/A</v>
      </c>
      <c r="M105">
        <f t="shared" si="8"/>
        <v>0</v>
      </c>
      <c r="N105">
        <f t="shared" si="9"/>
        <v>0</v>
      </c>
    </row>
    <row r="106" spans="1:14" x14ac:dyDescent="0.25">
      <c r="A106" s="24" t="s">
        <v>235</v>
      </c>
      <c r="B106" s="156" t="s">
        <v>246</v>
      </c>
      <c r="C106" s="156"/>
      <c r="D106" s="156"/>
      <c r="E106" s="156"/>
      <c r="F106" s="156"/>
      <c r="G106" s="67"/>
      <c r="H106" s="67"/>
      <c r="L106" t="e">
        <f t="shared" si="7"/>
        <v>#N/A</v>
      </c>
      <c r="M106">
        <f t="shared" si="8"/>
        <v>0</v>
      </c>
      <c r="N106">
        <f t="shared" si="9"/>
        <v>0</v>
      </c>
    </row>
    <row r="107" spans="1:14" x14ac:dyDescent="0.25">
      <c r="A107" s="24" t="s">
        <v>236</v>
      </c>
      <c r="B107" s="156" t="s">
        <v>247</v>
      </c>
      <c r="C107" s="156"/>
      <c r="D107" s="156"/>
      <c r="E107" s="156"/>
      <c r="F107" s="156"/>
      <c r="G107" s="67"/>
      <c r="H107" s="67"/>
      <c r="L107" t="e">
        <f t="shared" si="7"/>
        <v>#N/A</v>
      </c>
      <c r="M107">
        <f t="shared" si="8"/>
        <v>0</v>
      </c>
      <c r="N107">
        <f t="shared" si="9"/>
        <v>0</v>
      </c>
    </row>
    <row r="108" spans="1:14" x14ac:dyDescent="0.25">
      <c r="A108" s="24" t="s">
        <v>237</v>
      </c>
      <c r="B108" s="156" t="s">
        <v>249</v>
      </c>
      <c r="C108" s="156"/>
      <c r="D108" s="156"/>
      <c r="E108" s="156"/>
      <c r="F108" s="156"/>
      <c r="G108" s="67"/>
      <c r="H108" s="67"/>
      <c r="L108" t="e">
        <f t="shared" si="7"/>
        <v>#N/A</v>
      </c>
      <c r="M108">
        <f t="shared" si="8"/>
        <v>0</v>
      </c>
      <c r="N108">
        <f t="shared" si="9"/>
        <v>0</v>
      </c>
    </row>
    <row r="109" spans="1:14" x14ac:dyDescent="0.25">
      <c r="A109" s="24" t="s">
        <v>367</v>
      </c>
      <c r="B109" s="156" t="s">
        <v>248</v>
      </c>
      <c r="C109" s="156"/>
      <c r="D109" s="156"/>
      <c r="E109" s="156"/>
      <c r="F109" s="156"/>
      <c r="G109" s="67"/>
      <c r="H109" s="67"/>
      <c r="L109" t="e">
        <f t="shared" si="7"/>
        <v>#N/A</v>
      </c>
      <c r="M109">
        <f t="shared" si="8"/>
        <v>0</v>
      </c>
      <c r="N109">
        <f t="shared" si="9"/>
        <v>0</v>
      </c>
    </row>
    <row r="110" spans="1:14" x14ac:dyDescent="0.25">
      <c r="A110" s="24" t="s">
        <v>342</v>
      </c>
      <c r="B110" s="156" t="s">
        <v>343</v>
      </c>
      <c r="C110" s="156"/>
      <c r="D110" s="156"/>
      <c r="E110" s="156"/>
      <c r="F110" s="156"/>
      <c r="G110" s="67"/>
      <c r="H110" s="67"/>
      <c r="L110" t="e">
        <f t="shared" si="7"/>
        <v>#N/A</v>
      </c>
      <c r="M110">
        <f t="shared" si="8"/>
        <v>0</v>
      </c>
      <c r="N110">
        <f t="shared" si="9"/>
        <v>0</v>
      </c>
    </row>
    <row r="111" spans="1:14" x14ac:dyDescent="0.25">
      <c r="A111" s="24" t="s">
        <v>238</v>
      </c>
      <c r="B111" s="156" t="s">
        <v>250</v>
      </c>
      <c r="C111" s="156"/>
      <c r="D111" s="156"/>
      <c r="E111" s="156"/>
      <c r="F111" s="156"/>
      <c r="G111" s="67"/>
      <c r="H111" s="67"/>
      <c r="L111" t="e">
        <f t="shared" si="7"/>
        <v>#N/A</v>
      </c>
      <c r="M111">
        <f t="shared" si="8"/>
        <v>0</v>
      </c>
      <c r="N111">
        <f t="shared" si="9"/>
        <v>0</v>
      </c>
    </row>
    <row r="112" spans="1:14" x14ac:dyDescent="0.25">
      <c r="L112" t="e">
        <f t="shared" si="7"/>
        <v>#N/A</v>
      </c>
      <c r="M112">
        <f t="shared" si="8"/>
        <v>0</v>
      </c>
      <c r="N112">
        <f t="shared" si="9"/>
        <v>0</v>
      </c>
    </row>
    <row r="113" spans="1:14" x14ac:dyDescent="0.25">
      <c r="A113" s="62" t="s">
        <v>163</v>
      </c>
      <c r="B113" s="158" t="s">
        <v>16</v>
      </c>
      <c r="C113" s="158"/>
      <c r="D113" s="158"/>
      <c r="E113" s="158"/>
      <c r="F113" s="158"/>
      <c r="G113" s="68"/>
      <c r="H113" s="68"/>
      <c r="L113" t="e">
        <f t="shared" si="7"/>
        <v>#N/A</v>
      </c>
      <c r="M113">
        <f t="shared" si="8"/>
        <v>0</v>
      </c>
      <c r="N113">
        <f t="shared" si="9"/>
        <v>0</v>
      </c>
    </row>
    <row r="114" spans="1:14" x14ac:dyDescent="0.25">
      <c r="A114" s="24" t="s">
        <v>251</v>
      </c>
      <c r="B114" s="161" t="s">
        <v>252</v>
      </c>
      <c r="C114" s="161"/>
      <c r="D114" s="161"/>
      <c r="E114" s="161"/>
      <c r="F114" s="161"/>
      <c r="G114" s="69"/>
      <c r="H114" s="69"/>
      <c r="L114" t="e">
        <f t="shared" si="7"/>
        <v>#N/A</v>
      </c>
      <c r="M114">
        <f t="shared" si="8"/>
        <v>0</v>
      </c>
      <c r="N114">
        <f t="shared" si="9"/>
        <v>0</v>
      </c>
    </row>
    <row r="115" spans="1:14" x14ac:dyDescent="0.25">
      <c r="L115" t="e">
        <f t="shared" si="7"/>
        <v>#N/A</v>
      </c>
      <c r="M115">
        <f t="shared" si="8"/>
        <v>0</v>
      </c>
      <c r="N115">
        <f t="shared" si="9"/>
        <v>0</v>
      </c>
    </row>
    <row r="116" spans="1:14" x14ac:dyDescent="0.25">
      <c r="L116" t="e">
        <f t="shared" si="7"/>
        <v>#N/A</v>
      </c>
      <c r="M116">
        <f t="shared" si="8"/>
        <v>0</v>
      </c>
      <c r="N116">
        <f t="shared" si="9"/>
        <v>0</v>
      </c>
    </row>
    <row r="117" spans="1:14" x14ac:dyDescent="0.25">
      <c r="L117" t="e">
        <f t="shared" si="7"/>
        <v>#N/A</v>
      </c>
      <c r="M117">
        <f t="shared" si="8"/>
        <v>0</v>
      </c>
      <c r="N117">
        <f t="shared" si="9"/>
        <v>0</v>
      </c>
    </row>
    <row r="118" spans="1:14" x14ac:dyDescent="0.25">
      <c r="A118" s="159" t="s">
        <v>19</v>
      </c>
      <c r="B118" s="159"/>
      <c r="C118" s="159"/>
      <c r="D118" s="159"/>
      <c r="E118" s="159"/>
      <c r="F118" s="159"/>
      <c r="G118" s="65"/>
      <c r="H118" s="65"/>
      <c r="L118" t="e">
        <f t="shared" si="7"/>
        <v>#N/A</v>
      </c>
      <c r="M118">
        <f t="shared" si="8"/>
        <v>0</v>
      </c>
      <c r="N118">
        <f t="shared" si="9"/>
        <v>0</v>
      </c>
    </row>
    <row r="119" spans="1:14" x14ac:dyDescent="0.25">
      <c r="A119" s="62" t="s">
        <v>15</v>
      </c>
      <c r="B119" s="157" t="s">
        <v>14</v>
      </c>
      <c r="C119" s="157"/>
      <c r="D119" s="157"/>
      <c r="E119" s="157"/>
      <c r="F119" s="157"/>
      <c r="G119" s="62" t="s">
        <v>15</v>
      </c>
      <c r="H119" s="62" t="s">
        <v>16</v>
      </c>
      <c r="L119" t="e">
        <f t="shared" si="7"/>
        <v>#N/A</v>
      </c>
      <c r="M119">
        <f t="shared" si="8"/>
        <v>0</v>
      </c>
      <c r="N119">
        <f t="shared" si="9"/>
        <v>0</v>
      </c>
    </row>
    <row r="120" spans="1:14" x14ac:dyDescent="0.25">
      <c r="A120" t="s">
        <v>286</v>
      </c>
      <c r="B120" s="160" t="e">
        <f>VLOOKUP(A120,RN_BN!$A$3:$D$193,2,FALSE)</f>
        <v>#N/A</v>
      </c>
      <c r="C120" s="160"/>
      <c r="D120" s="160"/>
      <c r="E120" s="160"/>
      <c r="F120" s="160"/>
      <c r="G120" s="66" t="e">
        <f>$A$131</f>
        <v>#N/A</v>
      </c>
      <c r="H120" s="66" t="str">
        <f>$B$131</f>
        <v>Creación de la órden</v>
      </c>
      <c r="L120" t="str">
        <f t="shared" si="7"/>
        <v>Co_02_01</v>
      </c>
      <c r="M120" t="e">
        <f t="shared" si="8"/>
        <v>#N/A</v>
      </c>
      <c r="N120" t="str">
        <f t="shared" si="9"/>
        <v>Creación de la órden</v>
      </c>
    </row>
    <row r="121" spans="1:14" x14ac:dyDescent="0.25">
      <c r="A121" t="s">
        <v>287</v>
      </c>
      <c r="B121" s="160" t="e">
        <f>VLOOKUP(A121,RN_BN!$A$3:$D$193,2,FALSE)</f>
        <v>#N/A</v>
      </c>
      <c r="C121" s="160"/>
      <c r="D121" s="160"/>
      <c r="E121" s="160"/>
      <c r="F121" s="160"/>
      <c r="G121" s="66" t="e">
        <f t="shared" ref="G121:G127" si="12">$A$131</f>
        <v>#N/A</v>
      </c>
      <c r="H121" s="66" t="str">
        <f t="shared" ref="H121:H127" si="13">$B$131</f>
        <v>Creación de la órden</v>
      </c>
      <c r="L121" t="str">
        <f t="shared" si="7"/>
        <v>Co_02_02</v>
      </c>
      <c r="M121" t="e">
        <f t="shared" si="8"/>
        <v>#N/A</v>
      </c>
      <c r="N121" t="str">
        <f t="shared" si="9"/>
        <v>Creación de la órden</v>
      </c>
    </row>
    <row r="122" spans="1:14" x14ac:dyDescent="0.25">
      <c r="A122" t="s">
        <v>528</v>
      </c>
      <c r="B122" s="160" t="e">
        <f>VLOOKUP(A122,RN_BN!$A$3:$D$193,2,FALSE)</f>
        <v>#N/A</v>
      </c>
      <c r="C122" s="160"/>
      <c r="D122" s="160"/>
      <c r="E122" s="160"/>
      <c r="F122" s="160"/>
      <c r="G122" s="66" t="e">
        <f t="shared" si="12"/>
        <v>#N/A</v>
      </c>
      <c r="H122" s="66" t="str">
        <f t="shared" si="13"/>
        <v>Creación de la órden</v>
      </c>
      <c r="L122" t="str">
        <f t="shared" si="7"/>
        <v>Co_02_04</v>
      </c>
      <c r="M122" t="e">
        <f t="shared" si="8"/>
        <v>#N/A</v>
      </c>
      <c r="N122" t="str">
        <f t="shared" si="9"/>
        <v>Creación de la órden</v>
      </c>
    </row>
    <row r="123" spans="1:14" x14ac:dyDescent="0.25">
      <c r="A123" t="s">
        <v>708</v>
      </c>
      <c r="B123" s="160" t="e">
        <f>VLOOKUP(A123,RN_BN!$A$3:$D$193,2,FALSE)</f>
        <v>#N/A</v>
      </c>
      <c r="C123" s="160"/>
      <c r="D123" s="160"/>
      <c r="E123" s="160"/>
      <c r="F123" s="160"/>
      <c r="G123" s="66" t="e">
        <f t="shared" si="12"/>
        <v>#N/A</v>
      </c>
      <c r="H123" s="66" t="str">
        <f t="shared" si="13"/>
        <v>Creación de la órden</v>
      </c>
      <c r="L123" t="str">
        <f t="shared" si="7"/>
        <v>Co_02_08</v>
      </c>
      <c r="M123" t="e">
        <f t="shared" si="8"/>
        <v>#N/A</v>
      </c>
      <c r="N123" t="str">
        <f t="shared" si="9"/>
        <v>Creación de la órden</v>
      </c>
    </row>
    <row r="124" spans="1:14" x14ac:dyDescent="0.25">
      <c r="A124" t="s">
        <v>731</v>
      </c>
      <c r="B124" s="160" t="e">
        <f>VLOOKUP(A124,RN_BN!$A$3:$D$193,2,FALSE)</f>
        <v>#N/A</v>
      </c>
      <c r="C124" s="160"/>
      <c r="D124" s="160"/>
      <c r="E124" s="160"/>
      <c r="F124" s="160"/>
      <c r="G124" s="66" t="e">
        <f t="shared" si="12"/>
        <v>#N/A</v>
      </c>
      <c r="H124" s="66" t="str">
        <f t="shared" si="13"/>
        <v>Creación de la órden</v>
      </c>
      <c r="L124" t="str">
        <f t="shared" si="7"/>
        <v>Co_02_14</v>
      </c>
      <c r="M124" t="e">
        <f t="shared" si="8"/>
        <v>#N/A</v>
      </c>
      <c r="N124" t="str">
        <f t="shared" si="9"/>
        <v>Creación de la órden</v>
      </c>
    </row>
    <row r="125" spans="1:14" x14ac:dyDescent="0.25">
      <c r="A125" t="s">
        <v>746</v>
      </c>
      <c r="B125" s="160" t="e">
        <f>VLOOKUP(A125,RN_BN!$A$3:$D$193,2,FALSE)</f>
        <v>#N/A</v>
      </c>
      <c r="C125" s="160"/>
      <c r="D125" s="160"/>
      <c r="E125" s="160"/>
      <c r="F125" s="160"/>
      <c r="G125" s="66" t="e">
        <f t="shared" si="12"/>
        <v>#N/A</v>
      </c>
      <c r="H125" s="66" t="str">
        <f t="shared" si="13"/>
        <v>Creación de la órden</v>
      </c>
      <c r="L125" t="str">
        <f>IF(VLOOKUP(A125,$K$3:$K$82,1,FALSE)=A125,A125)</f>
        <v>Co_02_06</v>
      </c>
      <c r="M125" t="e">
        <f t="shared" si="8"/>
        <v>#N/A</v>
      </c>
      <c r="N125" t="str">
        <f>IF(ISNA(L125),,H125)</f>
        <v>Creación de la órden</v>
      </c>
    </row>
    <row r="126" spans="1:14" x14ac:dyDescent="0.25">
      <c r="A126" t="s">
        <v>748</v>
      </c>
      <c r="B126" s="160" t="e">
        <f>VLOOKUP(A126,RN_BN!$A$3:$D$193,2,FALSE)</f>
        <v>#N/A</v>
      </c>
      <c r="C126" s="160"/>
      <c r="D126" s="160"/>
      <c r="E126" s="160"/>
      <c r="F126" s="160"/>
      <c r="G126" s="66" t="e">
        <f t="shared" si="12"/>
        <v>#N/A</v>
      </c>
      <c r="H126" s="66" t="str">
        <f t="shared" si="13"/>
        <v>Creación de la órden</v>
      </c>
      <c r="L126" t="str">
        <f>IF(VLOOKUP(A126,$K$3:$K$82,1,FALSE)=A126,A126)</f>
        <v>Co_02_09</v>
      </c>
      <c r="M126" t="e">
        <f t="shared" si="8"/>
        <v>#N/A</v>
      </c>
      <c r="N126" t="str">
        <f>IF(ISNA(L126),,H126)</f>
        <v>Creación de la órden</v>
      </c>
    </row>
    <row r="127" spans="1:14" x14ac:dyDescent="0.25">
      <c r="A127" t="s">
        <v>750</v>
      </c>
      <c r="B127" s="160" t="e">
        <f>VLOOKUP(A127,RN_BN!$A$3:$D$193,2,FALSE)</f>
        <v>#N/A</v>
      </c>
      <c r="C127" s="160"/>
      <c r="D127" s="160"/>
      <c r="E127" s="160"/>
      <c r="F127" s="160"/>
      <c r="G127" s="66" t="e">
        <f t="shared" si="12"/>
        <v>#N/A</v>
      </c>
      <c r="H127" s="66" t="str">
        <f t="shared" si="13"/>
        <v>Creación de la órden</v>
      </c>
      <c r="L127" t="str">
        <f>IF(VLOOKUP(A127,$K$3:$K$82,1,FALSE)=A127,A127)</f>
        <v>Co_02_11</v>
      </c>
      <c r="M127" t="e">
        <f t="shared" si="8"/>
        <v>#N/A</v>
      </c>
      <c r="N127" t="str">
        <f>IF(ISNA(L127),,H127)</f>
        <v>Creación de la órden</v>
      </c>
    </row>
    <row r="128" spans="1:14" x14ac:dyDescent="0.25">
      <c r="L128" t="e">
        <f t="shared" ref="L128:L188" si="14">IF(VLOOKUP(A128,$K$3:$K$82,1,FALSE)=A128,A128)</f>
        <v>#N/A</v>
      </c>
      <c r="M128">
        <f t="shared" si="8"/>
        <v>0</v>
      </c>
      <c r="N128">
        <f t="shared" si="9"/>
        <v>0</v>
      </c>
    </row>
    <row r="129" spans="1:14" x14ac:dyDescent="0.25">
      <c r="A129" s="157" t="s">
        <v>143</v>
      </c>
      <c r="B129" s="157"/>
      <c r="C129" s="157" t="s">
        <v>18</v>
      </c>
      <c r="D129" s="157"/>
      <c r="E129" s="157"/>
      <c r="F129" s="157"/>
      <c r="G129" s="63"/>
      <c r="H129" s="63"/>
      <c r="L129" t="e">
        <f t="shared" si="14"/>
        <v>#N/A</v>
      </c>
      <c r="M129">
        <f t="shared" si="8"/>
        <v>0</v>
      </c>
      <c r="N129">
        <f t="shared" si="9"/>
        <v>0</v>
      </c>
    </row>
    <row r="130" spans="1:14" x14ac:dyDescent="0.25">
      <c r="A130" s="62" t="s">
        <v>15</v>
      </c>
      <c r="B130" s="62" t="s">
        <v>16</v>
      </c>
      <c r="C130" s="62" t="s">
        <v>15</v>
      </c>
      <c r="D130" s="62" t="s">
        <v>14</v>
      </c>
      <c r="E130" s="62" t="s">
        <v>8</v>
      </c>
      <c r="F130" s="62" t="s">
        <v>142</v>
      </c>
      <c r="G130" s="62"/>
      <c r="H130" s="62"/>
      <c r="L130" t="e">
        <f t="shared" si="14"/>
        <v>#N/A</v>
      </c>
      <c r="M130">
        <f t="shared" si="8"/>
        <v>0</v>
      </c>
      <c r="N130">
        <f t="shared" si="9"/>
        <v>0</v>
      </c>
    </row>
    <row r="131" spans="1:14" x14ac:dyDescent="0.25">
      <c r="A131" t="e">
        <f>CONCATENATE("UI","_",F131,"_",C131)</f>
        <v>#N/A</v>
      </c>
      <c r="B131" t="s">
        <v>260</v>
      </c>
      <c r="C131" t="e">
        <f>VLOOKUP(A120,RN_BN!$A$3:$D$193,3,FALSE)</f>
        <v>#N/A</v>
      </c>
      <c r="D131" t="e">
        <f>VLOOKUP(A120,RN_BN!$A$3:$D$193,4,FALSE)</f>
        <v>#N/A</v>
      </c>
      <c r="E131" t="e">
        <f>VLOOKUP(C131,RN_BN!$C$3:$F$193,4,FALSE)</f>
        <v>#N/A</v>
      </c>
      <c r="F131" s="22" t="s">
        <v>47</v>
      </c>
      <c r="G131" s="22"/>
      <c r="H131" s="22"/>
      <c r="L131" t="e">
        <f t="shared" si="14"/>
        <v>#N/A</v>
      </c>
      <c r="M131">
        <f t="shared" ref="M131:M194" si="15">IF(ISNA(L131),,G131)</f>
        <v>0</v>
      </c>
      <c r="N131">
        <f t="shared" si="9"/>
        <v>0</v>
      </c>
    </row>
    <row r="132" spans="1:14" x14ac:dyDescent="0.25">
      <c r="L132" t="e">
        <f t="shared" si="14"/>
        <v>#N/A</v>
      </c>
      <c r="M132">
        <f t="shared" si="15"/>
        <v>0</v>
      </c>
      <c r="N132">
        <f t="shared" si="9"/>
        <v>0</v>
      </c>
    </row>
    <row r="133" spans="1:14" x14ac:dyDescent="0.25">
      <c r="A133" s="62" t="s">
        <v>162</v>
      </c>
      <c r="B133" s="158" t="s">
        <v>16</v>
      </c>
      <c r="C133" s="158"/>
      <c r="D133" s="158"/>
      <c r="E133" s="158"/>
      <c r="F133" s="158"/>
      <c r="G133" s="68"/>
      <c r="H133" s="68"/>
      <c r="L133" t="e">
        <f t="shared" si="14"/>
        <v>#N/A</v>
      </c>
      <c r="M133">
        <f t="shared" si="15"/>
        <v>0</v>
      </c>
      <c r="N133">
        <f t="shared" si="9"/>
        <v>0</v>
      </c>
    </row>
    <row r="134" spans="1:14" x14ac:dyDescent="0.25">
      <c r="A134" s="24" t="s">
        <v>261</v>
      </c>
      <c r="B134" s="156" t="s">
        <v>262</v>
      </c>
      <c r="C134" s="156"/>
      <c r="D134" s="156"/>
      <c r="E134" s="156"/>
      <c r="F134" s="156"/>
      <c r="G134" s="67"/>
      <c r="H134" s="67"/>
      <c r="L134" t="e">
        <f t="shared" si="14"/>
        <v>#N/A</v>
      </c>
      <c r="M134">
        <f t="shared" si="15"/>
        <v>0</v>
      </c>
      <c r="N134">
        <f t="shared" si="9"/>
        <v>0</v>
      </c>
    </row>
    <row r="135" spans="1:14" x14ac:dyDescent="0.25">
      <c r="A135" s="24" t="s">
        <v>95</v>
      </c>
      <c r="B135" s="156" t="s">
        <v>263</v>
      </c>
      <c r="C135" s="156"/>
      <c r="D135" s="156"/>
      <c r="E135" s="156"/>
      <c r="F135" s="156"/>
      <c r="G135" s="67"/>
      <c r="H135" s="67"/>
      <c r="L135" t="e">
        <f t="shared" si="14"/>
        <v>#N/A</v>
      </c>
      <c r="M135">
        <f t="shared" si="15"/>
        <v>0</v>
      </c>
      <c r="N135">
        <f t="shared" si="9"/>
        <v>0</v>
      </c>
    </row>
    <row r="136" spans="1:14" x14ac:dyDescent="0.25">
      <c r="A136" s="24" t="s">
        <v>96</v>
      </c>
      <c r="B136" s="156" t="s">
        <v>264</v>
      </c>
      <c r="C136" s="156"/>
      <c r="D136" s="156"/>
      <c r="E136" s="156"/>
      <c r="F136" s="156"/>
      <c r="G136" s="67"/>
      <c r="H136" s="67"/>
      <c r="L136" t="e">
        <f t="shared" si="14"/>
        <v>#N/A</v>
      </c>
      <c r="M136">
        <f t="shared" si="15"/>
        <v>0</v>
      </c>
      <c r="N136">
        <f t="shared" si="9"/>
        <v>0</v>
      </c>
    </row>
    <row r="137" spans="1:14" x14ac:dyDescent="0.25">
      <c r="A137" s="24" t="s">
        <v>148</v>
      </c>
      <c r="B137" s="156" t="s">
        <v>265</v>
      </c>
      <c r="C137" s="156"/>
      <c r="D137" s="156"/>
      <c r="E137" s="156"/>
      <c r="F137" s="156"/>
      <c r="G137" s="67"/>
      <c r="H137" s="67"/>
      <c r="L137" t="e">
        <f t="shared" si="14"/>
        <v>#N/A</v>
      </c>
      <c r="M137">
        <f t="shared" si="15"/>
        <v>0</v>
      </c>
      <c r="N137">
        <f t="shared" si="9"/>
        <v>0</v>
      </c>
    </row>
    <row r="138" spans="1:14" x14ac:dyDescent="0.25">
      <c r="A138" s="24" t="s">
        <v>198</v>
      </c>
      <c r="B138" s="156" t="s">
        <v>266</v>
      </c>
      <c r="C138" s="156"/>
      <c r="D138" s="156"/>
      <c r="E138" s="156"/>
      <c r="F138" s="156"/>
      <c r="G138" s="67"/>
      <c r="H138" s="67"/>
      <c r="L138" t="e">
        <f t="shared" si="14"/>
        <v>#N/A</v>
      </c>
      <c r="M138">
        <f t="shared" si="15"/>
        <v>0</v>
      </c>
      <c r="N138">
        <f t="shared" si="9"/>
        <v>0</v>
      </c>
    </row>
    <row r="139" spans="1:14" x14ac:dyDescent="0.25">
      <c r="A139" s="24" t="s">
        <v>267</v>
      </c>
      <c r="B139" s="156" t="s">
        <v>268</v>
      </c>
      <c r="C139" s="156"/>
      <c r="D139" s="156"/>
      <c r="E139" s="156"/>
      <c r="F139" s="156"/>
      <c r="G139" s="67"/>
      <c r="H139" s="67"/>
      <c r="L139" t="e">
        <f t="shared" si="14"/>
        <v>#N/A</v>
      </c>
      <c r="M139">
        <f t="shared" si="15"/>
        <v>0</v>
      </c>
      <c r="N139">
        <f t="shared" si="9"/>
        <v>0</v>
      </c>
    </row>
    <row r="140" spans="1:14" x14ac:dyDescent="0.25">
      <c r="A140" s="24" t="s">
        <v>738</v>
      </c>
      <c r="B140" s="156" t="s">
        <v>739</v>
      </c>
      <c r="C140" s="156"/>
      <c r="D140" s="156"/>
      <c r="E140" s="156"/>
      <c r="F140" s="156"/>
      <c r="G140" s="67"/>
      <c r="H140" s="67"/>
      <c r="L140" t="e">
        <f t="shared" si="14"/>
        <v>#N/A</v>
      </c>
      <c r="M140">
        <f t="shared" si="15"/>
        <v>0</v>
      </c>
      <c r="N140">
        <f t="shared" si="9"/>
        <v>0</v>
      </c>
    </row>
    <row r="141" spans="1:14" x14ac:dyDescent="0.25">
      <c r="A141" s="24" t="s">
        <v>273</v>
      </c>
      <c r="B141" s="156" t="s">
        <v>274</v>
      </c>
      <c r="C141" s="156"/>
      <c r="D141" s="156"/>
      <c r="E141" s="156"/>
      <c r="F141" s="156"/>
      <c r="G141" s="67"/>
      <c r="H141" s="67"/>
      <c r="L141" t="e">
        <f t="shared" si="14"/>
        <v>#N/A</v>
      </c>
      <c r="M141">
        <f t="shared" si="15"/>
        <v>0</v>
      </c>
      <c r="N141">
        <f t="shared" ref="N141:N203" si="16">IF(ISNA(L141),,H141)</f>
        <v>0</v>
      </c>
    </row>
    <row r="142" spans="1:14" x14ac:dyDescent="0.25">
      <c r="A142" s="24" t="s">
        <v>728</v>
      </c>
      <c r="B142" s="156" t="s">
        <v>729</v>
      </c>
      <c r="C142" s="156"/>
      <c r="D142" s="156"/>
      <c r="E142" s="156"/>
      <c r="F142" s="156"/>
      <c r="G142" s="67"/>
      <c r="H142" s="67"/>
      <c r="L142" t="e">
        <f t="shared" si="14"/>
        <v>#N/A</v>
      </c>
      <c r="M142">
        <f t="shared" si="15"/>
        <v>0</v>
      </c>
      <c r="N142">
        <f t="shared" si="16"/>
        <v>0</v>
      </c>
    </row>
    <row r="143" spans="1:14" x14ac:dyDescent="0.25">
      <c r="A143" s="24" t="s">
        <v>732</v>
      </c>
      <c r="B143" s="156" t="s">
        <v>735</v>
      </c>
      <c r="C143" s="156"/>
      <c r="D143" s="156"/>
      <c r="E143" s="156"/>
      <c r="F143" s="156"/>
      <c r="G143" s="67"/>
      <c r="H143" s="67"/>
      <c r="L143" t="e">
        <f t="shared" si="14"/>
        <v>#N/A</v>
      </c>
      <c r="M143">
        <f t="shared" si="15"/>
        <v>0</v>
      </c>
      <c r="N143">
        <f t="shared" si="16"/>
        <v>0</v>
      </c>
    </row>
    <row r="144" spans="1:14" x14ac:dyDescent="0.25">
      <c r="A144" s="24" t="s">
        <v>733</v>
      </c>
      <c r="B144" s="156" t="s">
        <v>736</v>
      </c>
      <c r="C144" s="156"/>
      <c r="D144" s="156"/>
      <c r="E144" s="156"/>
      <c r="F144" s="156"/>
      <c r="G144" s="67"/>
      <c r="H144" s="67"/>
      <c r="L144" t="e">
        <f t="shared" si="14"/>
        <v>#N/A</v>
      </c>
      <c r="M144">
        <f t="shared" si="15"/>
        <v>0</v>
      </c>
      <c r="N144">
        <f t="shared" si="16"/>
        <v>0</v>
      </c>
    </row>
    <row r="145" spans="1:14" x14ac:dyDescent="0.25">
      <c r="A145" s="24" t="s">
        <v>734</v>
      </c>
      <c r="B145" s="156" t="s">
        <v>737</v>
      </c>
      <c r="C145" s="156"/>
      <c r="D145" s="156"/>
      <c r="E145" s="156"/>
      <c r="F145" s="156"/>
      <c r="G145" s="67"/>
      <c r="H145" s="67"/>
      <c r="L145" t="e">
        <f t="shared" si="14"/>
        <v>#N/A</v>
      </c>
      <c r="M145">
        <f t="shared" si="15"/>
        <v>0</v>
      </c>
      <c r="N145">
        <f t="shared" si="16"/>
        <v>0</v>
      </c>
    </row>
    <row r="146" spans="1:14" x14ac:dyDescent="0.25">
      <c r="L146" t="e">
        <f t="shared" si="14"/>
        <v>#N/A</v>
      </c>
      <c r="M146">
        <f t="shared" si="15"/>
        <v>0</v>
      </c>
      <c r="N146">
        <f t="shared" si="16"/>
        <v>0</v>
      </c>
    </row>
    <row r="147" spans="1:14" x14ac:dyDescent="0.25">
      <c r="A147" s="62" t="s">
        <v>163</v>
      </c>
      <c r="B147" s="158" t="s">
        <v>16</v>
      </c>
      <c r="C147" s="158"/>
      <c r="D147" s="158"/>
      <c r="E147" s="158"/>
      <c r="F147" s="158"/>
      <c r="G147" s="68"/>
      <c r="H147" s="68"/>
      <c r="L147" t="e">
        <f t="shared" si="14"/>
        <v>#N/A</v>
      </c>
      <c r="M147">
        <f t="shared" si="15"/>
        <v>0</v>
      </c>
      <c r="N147">
        <f t="shared" si="16"/>
        <v>0</v>
      </c>
    </row>
    <row r="148" spans="1:14" x14ac:dyDescent="0.25">
      <c r="A148" s="24" t="s">
        <v>277</v>
      </c>
      <c r="B148" s="161" t="s">
        <v>285</v>
      </c>
      <c r="C148" s="161"/>
      <c r="D148" s="161"/>
      <c r="E148" s="161"/>
      <c r="F148" s="161"/>
      <c r="G148" s="69"/>
      <c r="H148" s="69"/>
      <c r="L148" t="e">
        <f t="shared" si="14"/>
        <v>#N/A</v>
      </c>
      <c r="M148">
        <f t="shared" si="15"/>
        <v>0</v>
      </c>
      <c r="N148">
        <f t="shared" si="16"/>
        <v>0</v>
      </c>
    </row>
    <row r="149" spans="1:14" x14ac:dyDescent="0.25">
      <c r="A149" s="24" t="s">
        <v>278</v>
      </c>
      <c r="B149" s="161" t="s">
        <v>284</v>
      </c>
      <c r="C149" s="161"/>
      <c r="D149" s="161"/>
      <c r="E149" s="161"/>
      <c r="F149" s="161"/>
      <c r="G149" s="69"/>
      <c r="H149" s="69"/>
      <c r="L149" t="e">
        <f t="shared" si="14"/>
        <v>#N/A</v>
      </c>
      <c r="M149">
        <f t="shared" si="15"/>
        <v>0</v>
      </c>
      <c r="N149">
        <f t="shared" si="16"/>
        <v>0</v>
      </c>
    </row>
    <row r="150" spans="1:14" x14ac:dyDescent="0.25">
      <c r="A150" s="24" t="s">
        <v>279</v>
      </c>
      <c r="B150" s="161" t="s">
        <v>283</v>
      </c>
      <c r="C150" s="161"/>
      <c r="D150" s="161"/>
      <c r="E150" s="161"/>
      <c r="F150" s="161"/>
      <c r="G150" s="69"/>
      <c r="H150" s="69"/>
      <c r="L150" t="e">
        <f t="shared" si="14"/>
        <v>#N/A</v>
      </c>
      <c r="M150">
        <f t="shared" si="15"/>
        <v>0</v>
      </c>
      <c r="N150">
        <f t="shared" si="16"/>
        <v>0</v>
      </c>
    </row>
    <row r="151" spans="1:14" x14ac:dyDescent="0.25">
      <c r="A151" s="24" t="s">
        <v>154</v>
      </c>
      <c r="B151" s="161" t="s">
        <v>185</v>
      </c>
      <c r="C151" s="161"/>
      <c r="D151" s="161"/>
      <c r="E151" s="161"/>
      <c r="F151" s="161"/>
      <c r="G151" s="69"/>
      <c r="H151" s="69"/>
      <c r="L151" t="e">
        <f t="shared" si="14"/>
        <v>#N/A</v>
      </c>
      <c r="M151">
        <f t="shared" si="15"/>
        <v>0</v>
      </c>
      <c r="N151">
        <f t="shared" si="16"/>
        <v>0</v>
      </c>
    </row>
    <row r="152" spans="1:14" x14ac:dyDescent="0.25">
      <c r="A152" s="24" t="s">
        <v>280</v>
      </c>
      <c r="B152" s="161" t="s">
        <v>282</v>
      </c>
      <c r="C152" s="161"/>
      <c r="D152" s="161"/>
      <c r="E152" s="161"/>
      <c r="F152" s="161"/>
      <c r="G152" s="69"/>
      <c r="H152" s="69"/>
      <c r="L152" t="e">
        <f t="shared" si="14"/>
        <v>#N/A</v>
      </c>
      <c r="M152">
        <f t="shared" si="15"/>
        <v>0</v>
      </c>
      <c r="N152">
        <f t="shared" si="16"/>
        <v>0</v>
      </c>
    </row>
    <row r="153" spans="1:14" x14ac:dyDescent="0.25">
      <c r="A153" s="24" t="s">
        <v>214</v>
      </c>
      <c r="B153" s="161" t="s">
        <v>186</v>
      </c>
      <c r="C153" s="161"/>
      <c r="D153" s="161"/>
      <c r="E153" s="161"/>
      <c r="F153" s="161"/>
      <c r="G153" s="69"/>
      <c r="H153" s="69"/>
      <c r="L153" t="e">
        <f t="shared" si="14"/>
        <v>#N/A</v>
      </c>
      <c r="M153">
        <f t="shared" si="15"/>
        <v>0</v>
      </c>
      <c r="N153">
        <f t="shared" si="16"/>
        <v>0</v>
      </c>
    </row>
    <row r="154" spans="1:14" x14ac:dyDescent="0.25">
      <c r="A154" s="24" t="s">
        <v>159</v>
      </c>
      <c r="B154" s="161" t="s">
        <v>281</v>
      </c>
      <c r="C154" s="161"/>
      <c r="D154" s="161"/>
      <c r="E154" s="161"/>
      <c r="F154" s="161"/>
      <c r="G154" s="69"/>
      <c r="H154" s="69"/>
      <c r="L154" t="e">
        <f t="shared" si="14"/>
        <v>#N/A</v>
      </c>
      <c r="M154">
        <f t="shared" si="15"/>
        <v>0</v>
      </c>
      <c r="N154">
        <f t="shared" si="16"/>
        <v>0</v>
      </c>
    </row>
    <row r="155" spans="1:14" x14ac:dyDescent="0.25">
      <c r="A155" s="24" t="s">
        <v>599</v>
      </c>
      <c r="B155" s="161" t="s">
        <v>298</v>
      </c>
      <c r="C155" s="161"/>
      <c r="D155" s="161"/>
      <c r="E155" s="161"/>
      <c r="F155" s="161"/>
      <c r="G155" s="69"/>
      <c r="H155" s="69"/>
      <c r="L155" t="e">
        <f t="shared" si="14"/>
        <v>#N/A</v>
      </c>
      <c r="M155">
        <f t="shared" si="15"/>
        <v>0</v>
      </c>
      <c r="N155">
        <f t="shared" si="16"/>
        <v>0</v>
      </c>
    </row>
    <row r="156" spans="1:14" x14ac:dyDescent="0.25">
      <c r="A156" s="24" t="s">
        <v>299</v>
      </c>
      <c r="B156" s="161" t="s">
        <v>300</v>
      </c>
      <c r="C156" s="161"/>
      <c r="D156" s="161"/>
      <c r="E156" s="161"/>
      <c r="F156" s="161"/>
      <c r="G156" s="69"/>
      <c r="H156" s="69"/>
      <c r="L156" t="e">
        <f t="shared" si="14"/>
        <v>#N/A</v>
      </c>
      <c r="M156">
        <f t="shared" si="15"/>
        <v>0</v>
      </c>
      <c r="N156">
        <f t="shared" si="16"/>
        <v>0</v>
      </c>
    </row>
    <row r="157" spans="1:14" x14ac:dyDescent="0.25">
      <c r="L157" t="e">
        <f t="shared" si="14"/>
        <v>#N/A</v>
      </c>
      <c r="M157">
        <f t="shared" si="15"/>
        <v>0</v>
      </c>
      <c r="N157">
        <f t="shared" si="16"/>
        <v>0</v>
      </c>
    </row>
    <row r="158" spans="1:14" x14ac:dyDescent="0.25">
      <c r="L158" t="e">
        <f t="shared" si="14"/>
        <v>#N/A</v>
      </c>
      <c r="M158">
        <f t="shared" si="15"/>
        <v>0</v>
      </c>
      <c r="N158">
        <f t="shared" si="16"/>
        <v>0</v>
      </c>
    </row>
    <row r="159" spans="1:14" x14ac:dyDescent="0.25">
      <c r="A159" s="159" t="s">
        <v>19</v>
      </c>
      <c r="B159" s="159"/>
      <c r="C159" s="159"/>
      <c r="D159" s="159"/>
      <c r="E159" s="159"/>
      <c r="F159" s="159"/>
      <c r="G159" s="65"/>
      <c r="H159" s="65"/>
      <c r="L159" t="e">
        <f t="shared" si="14"/>
        <v>#N/A</v>
      </c>
      <c r="M159">
        <f t="shared" si="15"/>
        <v>0</v>
      </c>
      <c r="N159">
        <f t="shared" si="16"/>
        <v>0</v>
      </c>
    </row>
    <row r="160" spans="1:14" x14ac:dyDescent="0.25">
      <c r="A160" s="62" t="s">
        <v>15</v>
      </c>
      <c r="B160" s="157" t="s">
        <v>14</v>
      </c>
      <c r="C160" s="157"/>
      <c r="D160" s="157"/>
      <c r="E160" s="157"/>
      <c r="F160" s="157"/>
      <c r="G160" s="62" t="s">
        <v>15</v>
      </c>
      <c r="H160" s="62" t="s">
        <v>16</v>
      </c>
      <c r="L160" t="e">
        <f t="shared" si="14"/>
        <v>#N/A</v>
      </c>
      <c r="M160">
        <f t="shared" si="15"/>
        <v>0</v>
      </c>
      <c r="N160">
        <f t="shared" si="16"/>
        <v>0</v>
      </c>
    </row>
    <row r="161" spans="1:14" x14ac:dyDescent="0.25">
      <c r="A161" t="s">
        <v>287</v>
      </c>
      <c r="B161" s="160" t="e">
        <f>VLOOKUP(A161,RN_BN!$A$3:$D$193,2,FALSE)</f>
        <v>#N/A</v>
      </c>
      <c r="C161" s="160"/>
      <c r="D161" s="160"/>
      <c r="E161" s="160"/>
      <c r="F161" s="160"/>
      <c r="G161" s="66" t="e">
        <f>$A$166</f>
        <v>#N/A</v>
      </c>
      <c r="H161" s="66" t="str">
        <f>$B$166</f>
        <v>Listado de órdenes</v>
      </c>
      <c r="L161" t="str">
        <f t="shared" si="14"/>
        <v>Co_02_02</v>
      </c>
      <c r="M161" t="e">
        <f t="shared" si="15"/>
        <v>#N/A</v>
      </c>
      <c r="N161" t="str">
        <f t="shared" si="16"/>
        <v>Listado de órdenes</v>
      </c>
    </row>
    <row r="162" spans="1:14" x14ac:dyDescent="0.25">
      <c r="A162" t="s">
        <v>303</v>
      </c>
      <c r="B162" s="160" t="e">
        <f>VLOOKUP(A162,RN_BN!$A$3:$D$193,2,FALSE)</f>
        <v>#N/A</v>
      </c>
      <c r="C162" s="160"/>
      <c r="D162" s="160"/>
      <c r="E162" s="160"/>
      <c r="F162" s="160"/>
      <c r="G162" s="66" t="e">
        <f>$A$166</f>
        <v>#N/A</v>
      </c>
      <c r="H162" s="66" t="str">
        <f>$B$166</f>
        <v>Listado de órdenes</v>
      </c>
      <c r="L162" t="str">
        <f t="shared" si="14"/>
        <v>Co_02_03</v>
      </c>
      <c r="M162" t="e">
        <f t="shared" si="15"/>
        <v>#N/A</v>
      </c>
      <c r="N162" t="str">
        <f t="shared" si="16"/>
        <v>Listado de órdenes</v>
      </c>
    </row>
    <row r="163" spans="1:14" x14ac:dyDescent="0.25">
      <c r="L163" t="e">
        <f t="shared" si="14"/>
        <v>#N/A</v>
      </c>
      <c r="M163">
        <f t="shared" si="15"/>
        <v>0</v>
      </c>
      <c r="N163">
        <f t="shared" si="16"/>
        <v>0</v>
      </c>
    </row>
    <row r="164" spans="1:14" x14ac:dyDescent="0.25">
      <c r="A164" s="157" t="s">
        <v>143</v>
      </c>
      <c r="B164" s="157"/>
      <c r="C164" s="157" t="s">
        <v>18</v>
      </c>
      <c r="D164" s="157"/>
      <c r="E164" s="157"/>
      <c r="F164" s="157"/>
      <c r="G164" s="63"/>
      <c r="H164" s="63"/>
      <c r="L164" t="e">
        <f t="shared" si="14"/>
        <v>#N/A</v>
      </c>
      <c r="M164">
        <f t="shared" si="15"/>
        <v>0</v>
      </c>
      <c r="N164">
        <f t="shared" si="16"/>
        <v>0</v>
      </c>
    </row>
    <row r="165" spans="1:14" x14ac:dyDescent="0.25">
      <c r="A165" s="62" t="s">
        <v>15</v>
      </c>
      <c r="B165" s="62" t="s">
        <v>16</v>
      </c>
      <c r="C165" s="62" t="s">
        <v>15</v>
      </c>
      <c r="D165" s="62" t="s">
        <v>14</v>
      </c>
      <c r="E165" s="62" t="s">
        <v>8</v>
      </c>
      <c r="F165" s="62" t="s">
        <v>142</v>
      </c>
      <c r="G165" s="62"/>
      <c r="H165" s="62"/>
      <c r="L165" t="e">
        <f t="shared" si="14"/>
        <v>#N/A</v>
      </c>
      <c r="M165">
        <f t="shared" si="15"/>
        <v>0</v>
      </c>
      <c r="N165">
        <f t="shared" si="16"/>
        <v>0</v>
      </c>
    </row>
    <row r="166" spans="1:14" x14ac:dyDescent="0.25">
      <c r="A166" t="e">
        <f>CONCATENATE("UI","_",F166,"_",C166)</f>
        <v>#N/A</v>
      </c>
      <c r="B166" t="s">
        <v>85</v>
      </c>
      <c r="C166" t="e">
        <f>VLOOKUP(A161,RN_BN!$A$3:$D$193,3,FALSE)</f>
        <v>#N/A</v>
      </c>
      <c r="D166" t="e">
        <f>VLOOKUP(A161,RN_BN!$A$3:$D$193,4,FALSE)</f>
        <v>#N/A</v>
      </c>
      <c r="E166" t="e">
        <f>VLOOKUP(C166,RN_BN!$C$3:$F$193,4,FALSE)</f>
        <v>#N/A</v>
      </c>
      <c r="F166" s="22" t="s">
        <v>48</v>
      </c>
      <c r="G166" s="22"/>
      <c r="H166" s="22"/>
      <c r="L166" t="e">
        <f t="shared" si="14"/>
        <v>#N/A</v>
      </c>
      <c r="M166">
        <f t="shared" si="15"/>
        <v>0</v>
      </c>
      <c r="N166">
        <f t="shared" si="16"/>
        <v>0</v>
      </c>
    </row>
    <row r="167" spans="1:14" x14ac:dyDescent="0.25">
      <c r="L167" t="e">
        <f t="shared" si="14"/>
        <v>#N/A</v>
      </c>
      <c r="M167">
        <f t="shared" si="15"/>
        <v>0</v>
      </c>
      <c r="N167">
        <f t="shared" si="16"/>
        <v>0</v>
      </c>
    </row>
    <row r="168" spans="1:14" x14ac:dyDescent="0.25">
      <c r="A168" s="62" t="s">
        <v>162</v>
      </c>
      <c r="B168" s="158" t="s">
        <v>16</v>
      </c>
      <c r="C168" s="158"/>
      <c r="D168" s="158"/>
      <c r="E168" s="158"/>
      <c r="F168" s="158"/>
      <c r="G168" s="68"/>
      <c r="H168" s="68"/>
      <c r="L168" t="e">
        <f t="shared" si="14"/>
        <v>#N/A</v>
      </c>
      <c r="M168">
        <f t="shared" si="15"/>
        <v>0</v>
      </c>
      <c r="N168">
        <f t="shared" si="16"/>
        <v>0</v>
      </c>
    </row>
    <row r="169" spans="1:14" x14ac:dyDescent="0.25">
      <c r="A169" s="24" t="s">
        <v>288</v>
      </c>
      <c r="B169" s="156" t="s">
        <v>290</v>
      </c>
      <c r="C169" s="156"/>
      <c r="D169" s="156"/>
      <c r="E169" s="156"/>
      <c r="F169" s="156"/>
      <c r="G169" s="67"/>
      <c r="H169" s="67"/>
      <c r="L169" t="e">
        <f t="shared" si="14"/>
        <v>#N/A</v>
      </c>
      <c r="M169">
        <f t="shared" si="15"/>
        <v>0</v>
      </c>
      <c r="N169">
        <f t="shared" si="16"/>
        <v>0</v>
      </c>
    </row>
    <row r="170" spans="1:14" x14ac:dyDescent="0.25">
      <c r="A170" s="24" t="s">
        <v>95</v>
      </c>
      <c r="B170" s="156" t="s">
        <v>291</v>
      </c>
      <c r="C170" s="156"/>
      <c r="D170" s="156"/>
      <c r="E170" s="156"/>
      <c r="F170" s="156"/>
      <c r="G170" s="67"/>
      <c r="H170" s="67"/>
      <c r="L170" t="e">
        <f t="shared" si="14"/>
        <v>#N/A</v>
      </c>
      <c r="M170">
        <f t="shared" si="15"/>
        <v>0</v>
      </c>
      <c r="N170">
        <f t="shared" si="16"/>
        <v>0</v>
      </c>
    </row>
    <row r="171" spans="1:14" x14ac:dyDescent="0.25">
      <c r="A171" s="24" t="s">
        <v>96</v>
      </c>
      <c r="B171" s="156" t="s">
        <v>292</v>
      </c>
      <c r="C171" s="156"/>
      <c r="D171" s="156"/>
      <c r="E171" s="156"/>
      <c r="F171" s="156"/>
      <c r="G171" s="67"/>
      <c r="H171" s="67"/>
      <c r="L171" t="e">
        <f t="shared" si="14"/>
        <v>#N/A</v>
      </c>
      <c r="M171">
        <f t="shared" si="15"/>
        <v>0</v>
      </c>
      <c r="N171">
        <f t="shared" si="16"/>
        <v>0</v>
      </c>
    </row>
    <row r="172" spans="1:14" x14ac:dyDescent="0.25">
      <c r="A172" s="24" t="s">
        <v>289</v>
      </c>
      <c r="B172" s="156" t="s">
        <v>293</v>
      </c>
      <c r="C172" s="156"/>
      <c r="D172" s="156"/>
      <c r="E172" s="156"/>
      <c r="F172" s="156"/>
      <c r="G172" s="67"/>
      <c r="H172" s="67"/>
      <c r="L172" t="e">
        <f t="shared" si="14"/>
        <v>#N/A</v>
      </c>
      <c r="M172">
        <f t="shared" si="15"/>
        <v>0</v>
      </c>
      <c r="N172">
        <f t="shared" si="16"/>
        <v>0</v>
      </c>
    </row>
    <row r="173" spans="1:14" x14ac:dyDescent="0.25">
      <c r="A173" s="24" t="s">
        <v>90</v>
      </c>
      <c r="B173" s="156" t="s">
        <v>294</v>
      </c>
      <c r="C173" s="156"/>
      <c r="D173" s="156"/>
      <c r="E173" s="156"/>
      <c r="F173" s="156"/>
      <c r="G173" s="67"/>
      <c r="H173" s="67"/>
      <c r="L173" t="e">
        <f t="shared" si="14"/>
        <v>#N/A</v>
      </c>
      <c r="M173">
        <f t="shared" si="15"/>
        <v>0</v>
      </c>
      <c r="N173">
        <f t="shared" si="16"/>
        <v>0</v>
      </c>
    </row>
    <row r="174" spans="1:14" x14ac:dyDescent="0.25">
      <c r="L174" t="e">
        <f t="shared" si="14"/>
        <v>#N/A</v>
      </c>
      <c r="M174">
        <f t="shared" si="15"/>
        <v>0</v>
      </c>
      <c r="N174">
        <f t="shared" si="16"/>
        <v>0</v>
      </c>
    </row>
    <row r="175" spans="1:14" x14ac:dyDescent="0.25">
      <c r="A175" s="62" t="s">
        <v>163</v>
      </c>
      <c r="B175" s="158" t="s">
        <v>16</v>
      </c>
      <c r="C175" s="158"/>
      <c r="D175" s="158"/>
      <c r="E175" s="158"/>
      <c r="F175" s="158"/>
      <c r="G175" s="68"/>
      <c r="H175" s="68"/>
      <c r="L175" t="e">
        <f t="shared" si="14"/>
        <v>#N/A</v>
      </c>
      <c r="M175">
        <f t="shared" si="15"/>
        <v>0</v>
      </c>
      <c r="N175">
        <f t="shared" si="16"/>
        <v>0</v>
      </c>
    </row>
    <row r="176" spans="1:14" x14ac:dyDescent="0.25">
      <c r="A176" s="24" t="s">
        <v>295</v>
      </c>
      <c r="B176" s="161" t="str">
        <f>"Redirecciona la acción a la pantalla " &amp;A121&amp; ", asociando la categoría que corresponda"</f>
        <v>Redirecciona la acción a la pantalla Co_02_02, asociando la categoría que corresponda</v>
      </c>
      <c r="C176" s="161"/>
      <c r="D176" s="161"/>
      <c r="E176" s="161"/>
      <c r="F176" s="161"/>
      <c r="G176" s="69"/>
      <c r="H176" s="69"/>
      <c r="L176" t="e">
        <f t="shared" si="14"/>
        <v>#N/A</v>
      </c>
      <c r="M176">
        <f t="shared" si="15"/>
        <v>0</v>
      </c>
      <c r="N176">
        <f t="shared" si="16"/>
        <v>0</v>
      </c>
    </row>
    <row r="177" spans="1:14" x14ac:dyDescent="0.25">
      <c r="A177" s="24" t="s">
        <v>296</v>
      </c>
      <c r="B177" s="161" t="s">
        <v>297</v>
      </c>
      <c r="C177" s="161"/>
      <c r="D177" s="161"/>
      <c r="E177" s="161"/>
      <c r="F177" s="161"/>
      <c r="G177" s="69"/>
      <c r="H177" s="69"/>
      <c r="L177" t="e">
        <f t="shared" si="14"/>
        <v>#N/A</v>
      </c>
      <c r="M177">
        <f t="shared" si="15"/>
        <v>0</v>
      </c>
      <c r="N177">
        <f t="shared" si="16"/>
        <v>0</v>
      </c>
    </row>
    <row r="178" spans="1:14" x14ac:dyDescent="0.25">
      <c r="A178" s="24" t="s">
        <v>610</v>
      </c>
      <c r="B178" s="161" t="s">
        <v>85</v>
      </c>
      <c r="C178" s="161"/>
      <c r="D178" s="161"/>
      <c r="E178" s="161"/>
      <c r="F178" s="161"/>
      <c r="G178" s="69"/>
      <c r="H178" s="69"/>
      <c r="L178" t="e">
        <f t="shared" si="14"/>
        <v>#N/A</v>
      </c>
      <c r="M178">
        <f t="shared" si="15"/>
        <v>0</v>
      </c>
      <c r="N178">
        <f t="shared" si="16"/>
        <v>0</v>
      </c>
    </row>
    <row r="179" spans="1:14" x14ac:dyDescent="0.25">
      <c r="L179" t="e">
        <f t="shared" si="14"/>
        <v>#N/A</v>
      </c>
      <c r="M179">
        <f t="shared" si="15"/>
        <v>0</v>
      </c>
      <c r="N179">
        <f t="shared" si="16"/>
        <v>0</v>
      </c>
    </row>
    <row r="180" spans="1:14" x14ac:dyDescent="0.25">
      <c r="L180" t="e">
        <f t="shared" si="14"/>
        <v>#N/A</v>
      </c>
      <c r="M180">
        <f t="shared" si="15"/>
        <v>0</v>
      </c>
      <c r="N180">
        <f t="shared" si="16"/>
        <v>0</v>
      </c>
    </row>
    <row r="181" spans="1:14" x14ac:dyDescent="0.25">
      <c r="A181" s="159" t="s">
        <v>19</v>
      </c>
      <c r="B181" s="159"/>
      <c r="C181" s="159"/>
      <c r="D181" s="159"/>
      <c r="E181" s="159"/>
      <c r="F181" s="159"/>
      <c r="G181" s="65"/>
      <c r="H181" s="65"/>
      <c r="L181" t="e">
        <f t="shared" si="14"/>
        <v>#N/A</v>
      </c>
      <c r="M181">
        <f t="shared" si="15"/>
        <v>0</v>
      </c>
      <c r="N181">
        <f t="shared" si="16"/>
        <v>0</v>
      </c>
    </row>
    <row r="182" spans="1:14" x14ac:dyDescent="0.25">
      <c r="A182" s="62" t="s">
        <v>15</v>
      </c>
      <c r="B182" s="157" t="s">
        <v>14</v>
      </c>
      <c r="C182" s="157"/>
      <c r="D182" s="157"/>
      <c r="E182" s="157"/>
      <c r="F182" s="157"/>
      <c r="G182" s="62" t="s">
        <v>15</v>
      </c>
      <c r="H182" s="62" t="s">
        <v>16</v>
      </c>
      <c r="L182" t="e">
        <f t="shared" si="14"/>
        <v>#N/A</v>
      </c>
      <c r="M182">
        <f t="shared" si="15"/>
        <v>0</v>
      </c>
      <c r="N182">
        <f t="shared" si="16"/>
        <v>0</v>
      </c>
    </row>
    <row r="183" spans="1:14" x14ac:dyDescent="0.25">
      <c r="A183" t="s">
        <v>256</v>
      </c>
      <c r="B183" s="160" t="e">
        <f>VLOOKUP(A183,RN_BN!$A$3:$D$193,2,FALSE)</f>
        <v>#N/A</v>
      </c>
      <c r="C183" s="160"/>
      <c r="D183" s="160"/>
      <c r="E183" s="160"/>
      <c r="F183" s="160"/>
      <c r="G183" s="66" t="e">
        <f>$A$187</f>
        <v>#N/A</v>
      </c>
      <c r="H183" s="66" t="str">
        <f>$B$187</f>
        <v>Catálogo de Categorías de Mercancías</v>
      </c>
      <c r="L183" t="str">
        <f t="shared" si="14"/>
        <v>Co_03_07</v>
      </c>
      <c r="M183" t="e">
        <f t="shared" si="15"/>
        <v>#N/A</v>
      </c>
      <c r="N183" t="str">
        <f t="shared" si="16"/>
        <v>Catálogo de Categorías de Mercancías</v>
      </c>
    </row>
    <row r="184" spans="1:14" x14ac:dyDescent="0.25">
      <c r="L184" t="e">
        <f t="shared" si="14"/>
        <v>#N/A</v>
      </c>
      <c r="M184">
        <f t="shared" si="15"/>
        <v>0</v>
      </c>
      <c r="N184">
        <f t="shared" si="16"/>
        <v>0</v>
      </c>
    </row>
    <row r="185" spans="1:14" x14ac:dyDescent="0.25">
      <c r="A185" s="157" t="s">
        <v>143</v>
      </c>
      <c r="B185" s="157"/>
      <c r="C185" s="157" t="s">
        <v>18</v>
      </c>
      <c r="D185" s="157"/>
      <c r="E185" s="157"/>
      <c r="F185" s="157"/>
      <c r="G185" s="63"/>
      <c r="H185" s="63"/>
      <c r="L185" t="e">
        <f t="shared" si="14"/>
        <v>#N/A</v>
      </c>
      <c r="M185">
        <f t="shared" si="15"/>
        <v>0</v>
      </c>
      <c r="N185">
        <f t="shared" si="16"/>
        <v>0</v>
      </c>
    </row>
    <row r="186" spans="1:14" x14ac:dyDescent="0.25">
      <c r="A186" s="62" t="s">
        <v>15</v>
      </c>
      <c r="B186" s="62" t="s">
        <v>16</v>
      </c>
      <c r="C186" s="62" t="s">
        <v>15</v>
      </c>
      <c r="D186" s="62" t="s">
        <v>14</v>
      </c>
      <c r="E186" s="62" t="s">
        <v>8</v>
      </c>
      <c r="F186" s="62" t="s">
        <v>142</v>
      </c>
      <c r="G186" s="62"/>
      <c r="H186" s="62"/>
      <c r="L186" t="e">
        <f t="shared" si="14"/>
        <v>#N/A</v>
      </c>
      <c r="M186">
        <f t="shared" si="15"/>
        <v>0</v>
      </c>
      <c r="N186">
        <f t="shared" si="16"/>
        <v>0</v>
      </c>
    </row>
    <row r="187" spans="1:14" x14ac:dyDescent="0.25">
      <c r="A187" t="e">
        <f>CONCATENATE("UI","_",F187,"_",C187)</f>
        <v>#N/A</v>
      </c>
      <c r="B187" t="s">
        <v>304</v>
      </c>
      <c r="C187" t="e">
        <f>VLOOKUP(A183,RN_BN!$A$3:$D$193,3,FALSE)</f>
        <v>#N/A</v>
      </c>
      <c r="D187" t="e">
        <f>VLOOKUP(A183,RN_BN!$A$3:$D$193,4,FALSE)</f>
        <v>#N/A</v>
      </c>
      <c r="E187" t="e">
        <f>VLOOKUP(C187,RN_BN!$C$3:$F$193,4,FALSE)</f>
        <v>#N/A</v>
      </c>
      <c r="F187" s="22" t="s">
        <v>48</v>
      </c>
      <c r="G187" s="22"/>
      <c r="H187" s="22"/>
      <c r="L187" t="e">
        <f t="shared" si="14"/>
        <v>#N/A</v>
      </c>
      <c r="M187">
        <f t="shared" si="15"/>
        <v>0</v>
      </c>
      <c r="N187">
        <f t="shared" si="16"/>
        <v>0</v>
      </c>
    </row>
    <row r="188" spans="1:14" x14ac:dyDescent="0.25">
      <c r="L188" t="e">
        <f t="shared" si="14"/>
        <v>#N/A</v>
      </c>
      <c r="M188">
        <f t="shared" si="15"/>
        <v>0</v>
      </c>
      <c r="N188">
        <f t="shared" si="16"/>
        <v>0</v>
      </c>
    </row>
    <row r="189" spans="1:14" x14ac:dyDescent="0.25">
      <c r="A189" s="62" t="s">
        <v>162</v>
      </c>
      <c r="B189" s="158" t="s">
        <v>16</v>
      </c>
      <c r="C189" s="158"/>
      <c r="D189" s="158"/>
      <c r="E189" s="158"/>
      <c r="F189" s="158"/>
      <c r="G189" s="68"/>
      <c r="H189" s="68"/>
      <c r="L189" t="e">
        <f t="shared" ref="L189:L252" si="17">IF(VLOOKUP(A189,$K$3:$K$82,1,FALSE)=A189,A189)</f>
        <v>#N/A</v>
      </c>
      <c r="M189">
        <f t="shared" si="15"/>
        <v>0</v>
      </c>
      <c r="N189">
        <f t="shared" si="16"/>
        <v>0</v>
      </c>
    </row>
    <row r="190" spans="1:14" x14ac:dyDescent="0.25">
      <c r="A190" s="24" t="s">
        <v>148</v>
      </c>
      <c r="B190" s="156" t="s">
        <v>305</v>
      </c>
      <c r="C190" s="156"/>
      <c r="D190" s="156"/>
      <c r="E190" s="156"/>
      <c r="F190" s="156"/>
      <c r="G190" s="67"/>
      <c r="H190" s="67"/>
      <c r="L190" t="e">
        <f t="shared" si="17"/>
        <v>#N/A</v>
      </c>
      <c r="M190">
        <f t="shared" si="15"/>
        <v>0</v>
      </c>
      <c r="N190">
        <f t="shared" si="16"/>
        <v>0</v>
      </c>
    </row>
    <row r="191" spans="1:14" x14ac:dyDescent="0.25">
      <c r="L191" t="e">
        <f t="shared" si="17"/>
        <v>#N/A</v>
      </c>
      <c r="M191">
        <f t="shared" si="15"/>
        <v>0</v>
      </c>
      <c r="N191">
        <f t="shared" si="16"/>
        <v>0</v>
      </c>
    </row>
    <row r="192" spans="1:14" x14ac:dyDescent="0.25">
      <c r="A192" s="62" t="s">
        <v>163</v>
      </c>
      <c r="B192" s="158" t="s">
        <v>16</v>
      </c>
      <c r="C192" s="158"/>
      <c r="D192" s="158"/>
      <c r="E192" s="158"/>
      <c r="F192" s="158"/>
      <c r="G192" s="68"/>
      <c r="H192" s="68"/>
      <c r="L192" t="e">
        <f t="shared" si="17"/>
        <v>#N/A</v>
      </c>
      <c r="M192">
        <f t="shared" si="15"/>
        <v>0</v>
      </c>
      <c r="N192">
        <f t="shared" si="16"/>
        <v>0</v>
      </c>
    </row>
    <row r="193" spans="1:14" x14ac:dyDescent="0.25">
      <c r="A193" s="24" t="s">
        <v>306</v>
      </c>
      <c r="B193" s="161" t="s">
        <v>309</v>
      </c>
      <c r="C193" s="161"/>
      <c r="D193" s="161"/>
      <c r="E193" s="161"/>
      <c r="F193" s="161"/>
      <c r="G193" s="69"/>
      <c r="H193" s="69"/>
      <c r="L193" t="e">
        <f t="shared" si="17"/>
        <v>#N/A</v>
      </c>
      <c r="M193">
        <f t="shared" si="15"/>
        <v>0</v>
      </c>
      <c r="N193">
        <f t="shared" si="16"/>
        <v>0</v>
      </c>
    </row>
    <row r="194" spans="1:14" x14ac:dyDescent="0.25">
      <c r="A194" s="24" t="s">
        <v>307</v>
      </c>
      <c r="B194" s="161" t="s">
        <v>310</v>
      </c>
      <c r="C194" s="161"/>
      <c r="D194" s="161"/>
      <c r="E194" s="161"/>
      <c r="F194" s="161"/>
      <c r="G194" s="69"/>
      <c r="H194" s="69"/>
      <c r="L194" t="e">
        <f t="shared" si="17"/>
        <v>#N/A</v>
      </c>
      <c r="M194">
        <f t="shared" si="15"/>
        <v>0</v>
      </c>
      <c r="N194">
        <f t="shared" si="16"/>
        <v>0</v>
      </c>
    </row>
    <row r="195" spans="1:14" x14ac:dyDescent="0.25">
      <c r="A195" s="24" t="s">
        <v>308</v>
      </c>
      <c r="B195" s="161" t="s">
        <v>311</v>
      </c>
      <c r="C195" s="161"/>
      <c r="D195" s="161"/>
      <c r="E195" s="161"/>
      <c r="F195" s="161"/>
      <c r="G195" s="69"/>
      <c r="H195" s="69"/>
      <c r="L195" t="e">
        <f t="shared" si="17"/>
        <v>#N/A</v>
      </c>
      <c r="M195">
        <f t="shared" ref="M195:M258" si="18">IF(ISNA(L195),,G195)</f>
        <v>0</v>
      </c>
      <c r="N195">
        <f t="shared" si="16"/>
        <v>0</v>
      </c>
    </row>
    <row r="196" spans="1:14" x14ac:dyDescent="0.25">
      <c r="A196" s="24" t="s">
        <v>615</v>
      </c>
      <c r="B196" s="161" t="s">
        <v>616</v>
      </c>
      <c r="C196" s="161"/>
      <c r="D196" s="161"/>
      <c r="E196" s="161"/>
      <c r="F196" s="161"/>
      <c r="G196" s="69"/>
      <c r="H196" s="69"/>
      <c r="L196" t="e">
        <f t="shared" si="17"/>
        <v>#N/A</v>
      </c>
      <c r="M196">
        <f t="shared" si="18"/>
        <v>0</v>
      </c>
      <c r="N196">
        <f t="shared" si="16"/>
        <v>0</v>
      </c>
    </row>
    <row r="197" spans="1:14" x14ac:dyDescent="0.25">
      <c r="L197" t="e">
        <f t="shared" si="17"/>
        <v>#N/A</v>
      </c>
      <c r="M197">
        <f t="shared" si="18"/>
        <v>0</v>
      </c>
      <c r="N197">
        <f t="shared" si="16"/>
        <v>0</v>
      </c>
    </row>
    <row r="198" spans="1:14" x14ac:dyDescent="0.25">
      <c r="L198" t="e">
        <f t="shared" si="17"/>
        <v>#N/A</v>
      </c>
      <c r="M198">
        <f t="shared" si="18"/>
        <v>0</v>
      </c>
      <c r="N198">
        <f t="shared" si="16"/>
        <v>0</v>
      </c>
    </row>
    <row r="199" spans="1:14" x14ac:dyDescent="0.25">
      <c r="A199" s="159" t="s">
        <v>19</v>
      </c>
      <c r="B199" s="159"/>
      <c r="C199" s="159"/>
      <c r="D199" s="159"/>
      <c r="E199" s="159"/>
      <c r="F199" s="159"/>
      <c r="G199" s="65"/>
      <c r="H199" s="65"/>
      <c r="L199" t="e">
        <f t="shared" si="17"/>
        <v>#N/A</v>
      </c>
      <c r="M199">
        <f t="shared" si="18"/>
        <v>0</v>
      </c>
      <c r="N199">
        <f t="shared" si="16"/>
        <v>0</v>
      </c>
    </row>
    <row r="200" spans="1:14" x14ac:dyDescent="0.25">
      <c r="A200" s="62" t="s">
        <v>15</v>
      </c>
      <c r="B200" s="157" t="s">
        <v>14</v>
      </c>
      <c r="C200" s="157"/>
      <c r="D200" s="157"/>
      <c r="E200" s="157"/>
      <c r="F200" s="157"/>
      <c r="G200" s="62" t="s">
        <v>15</v>
      </c>
      <c r="H200" s="62" t="s">
        <v>16</v>
      </c>
      <c r="L200" t="e">
        <f t="shared" si="17"/>
        <v>#N/A</v>
      </c>
      <c r="M200">
        <f t="shared" si="18"/>
        <v>0</v>
      </c>
      <c r="N200">
        <f t="shared" si="16"/>
        <v>0</v>
      </c>
    </row>
    <row r="201" spans="1:14" x14ac:dyDescent="0.25">
      <c r="A201" t="s">
        <v>312</v>
      </c>
      <c r="B201" s="160" t="e">
        <f>VLOOKUP(A201,RN_BN!$A$3:$D$193,2,FALSE)</f>
        <v>#N/A</v>
      </c>
      <c r="C201" s="160"/>
      <c r="D201" s="160"/>
      <c r="E201" s="160"/>
      <c r="F201" s="160"/>
      <c r="G201" t="e">
        <f>A205</f>
        <v>#N/A</v>
      </c>
      <c r="H201" t="s">
        <v>313</v>
      </c>
      <c r="L201" t="str">
        <f t="shared" si="17"/>
        <v>Co_01_05</v>
      </c>
      <c r="M201" t="e">
        <f t="shared" si="18"/>
        <v>#N/A</v>
      </c>
      <c r="N201" t="str">
        <f t="shared" si="16"/>
        <v>Catálogo de Categorías de Platillos</v>
      </c>
    </row>
    <row r="202" spans="1:14" x14ac:dyDescent="0.25">
      <c r="L202" t="e">
        <f t="shared" si="17"/>
        <v>#N/A</v>
      </c>
      <c r="M202">
        <f t="shared" si="18"/>
        <v>0</v>
      </c>
      <c r="N202">
        <f t="shared" si="16"/>
        <v>0</v>
      </c>
    </row>
    <row r="203" spans="1:14" x14ac:dyDescent="0.25">
      <c r="A203" s="157" t="s">
        <v>143</v>
      </c>
      <c r="B203" s="157"/>
      <c r="C203" s="157" t="s">
        <v>18</v>
      </c>
      <c r="D203" s="157"/>
      <c r="E203" s="157"/>
      <c r="F203" s="157"/>
      <c r="G203" s="63"/>
      <c r="H203" s="63"/>
      <c r="L203" t="e">
        <f t="shared" si="17"/>
        <v>#N/A</v>
      </c>
      <c r="M203">
        <f t="shared" si="18"/>
        <v>0</v>
      </c>
      <c r="N203">
        <f t="shared" si="16"/>
        <v>0</v>
      </c>
    </row>
    <row r="204" spans="1:14" x14ac:dyDescent="0.25">
      <c r="A204" s="62" t="s">
        <v>15</v>
      </c>
      <c r="B204" s="62" t="s">
        <v>16</v>
      </c>
      <c r="C204" s="62" t="s">
        <v>15</v>
      </c>
      <c r="D204" s="62" t="s">
        <v>14</v>
      </c>
      <c r="E204" s="62" t="s">
        <v>8</v>
      </c>
      <c r="F204" s="62" t="s">
        <v>142</v>
      </c>
      <c r="G204" s="62"/>
      <c r="H204" s="62"/>
      <c r="L204" t="e">
        <f t="shared" si="17"/>
        <v>#N/A</v>
      </c>
      <c r="M204">
        <f t="shared" si="18"/>
        <v>0</v>
      </c>
      <c r="N204">
        <f t="shared" ref="N204:N267" si="19">IF(ISNA(L204),,H204)</f>
        <v>0</v>
      </c>
    </row>
    <row r="205" spans="1:14" x14ac:dyDescent="0.25">
      <c r="A205" t="e">
        <f>CONCATENATE("UI","_",F205,"_",C205)</f>
        <v>#N/A</v>
      </c>
      <c r="B205" t="s">
        <v>313</v>
      </c>
      <c r="C205" t="e">
        <f>VLOOKUP(A201,RN_BN!$A$3:$D$193,3,FALSE)</f>
        <v>#N/A</v>
      </c>
      <c r="D205" t="e">
        <f>VLOOKUP(A201,RN_BN!$A$3:$D$193,4,FALSE)</f>
        <v>#N/A</v>
      </c>
      <c r="E205" t="e">
        <f>VLOOKUP(C205,RN_BN!$C$3:$F$193,4,FALSE)</f>
        <v>#N/A</v>
      </c>
      <c r="F205" s="22" t="s">
        <v>49</v>
      </c>
      <c r="G205" s="22"/>
      <c r="H205" s="22"/>
      <c r="L205" t="e">
        <f t="shared" si="17"/>
        <v>#N/A</v>
      </c>
      <c r="M205">
        <f t="shared" si="18"/>
        <v>0</v>
      </c>
      <c r="N205">
        <f t="shared" si="19"/>
        <v>0</v>
      </c>
    </row>
    <row r="206" spans="1:14" x14ac:dyDescent="0.25">
      <c r="L206" t="e">
        <f t="shared" si="17"/>
        <v>#N/A</v>
      </c>
      <c r="M206">
        <f t="shared" si="18"/>
        <v>0</v>
      </c>
      <c r="N206">
        <f t="shared" si="19"/>
        <v>0</v>
      </c>
    </row>
    <row r="207" spans="1:14" x14ac:dyDescent="0.25">
      <c r="A207" s="62" t="s">
        <v>162</v>
      </c>
      <c r="B207" s="158" t="s">
        <v>16</v>
      </c>
      <c r="C207" s="158"/>
      <c r="D207" s="158"/>
      <c r="E207" s="158"/>
      <c r="F207" s="158"/>
      <c r="G207" s="68"/>
      <c r="H207" s="68"/>
      <c r="L207" t="e">
        <f t="shared" si="17"/>
        <v>#N/A</v>
      </c>
      <c r="M207">
        <f t="shared" si="18"/>
        <v>0</v>
      </c>
      <c r="N207">
        <f t="shared" si="19"/>
        <v>0</v>
      </c>
    </row>
    <row r="208" spans="1:14" x14ac:dyDescent="0.25">
      <c r="A208" s="24" t="s">
        <v>148</v>
      </c>
      <c r="B208" s="156" t="s">
        <v>305</v>
      </c>
      <c r="C208" s="156"/>
      <c r="D208" s="156"/>
      <c r="E208" s="156"/>
      <c r="F208" s="156"/>
      <c r="G208" s="67"/>
      <c r="H208" s="67"/>
      <c r="L208" t="e">
        <f t="shared" si="17"/>
        <v>#N/A</v>
      </c>
      <c r="M208">
        <f t="shared" si="18"/>
        <v>0</v>
      </c>
      <c r="N208">
        <f t="shared" si="19"/>
        <v>0</v>
      </c>
    </row>
    <row r="209" spans="1:14" x14ac:dyDescent="0.25">
      <c r="L209" t="e">
        <f t="shared" si="17"/>
        <v>#N/A</v>
      </c>
      <c r="M209">
        <f t="shared" si="18"/>
        <v>0</v>
      </c>
      <c r="N209">
        <f t="shared" si="19"/>
        <v>0</v>
      </c>
    </row>
    <row r="210" spans="1:14" x14ac:dyDescent="0.25">
      <c r="A210" s="62" t="s">
        <v>163</v>
      </c>
      <c r="B210" s="158" t="s">
        <v>16</v>
      </c>
      <c r="C210" s="158"/>
      <c r="D210" s="158"/>
      <c r="E210" s="158"/>
      <c r="F210" s="158"/>
      <c r="G210" s="68"/>
      <c r="H210" s="68"/>
      <c r="L210" t="e">
        <f t="shared" si="17"/>
        <v>#N/A</v>
      </c>
      <c r="M210">
        <f t="shared" si="18"/>
        <v>0</v>
      </c>
      <c r="N210">
        <f t="shared" si="19"/>
        <v>0</v>
      </c>
    </row>
    <row r="211" spans="1:14" x14ac:dyDescent="0.25">
      <c r="A211" s="24" t="s">
        <v>306</v>
      </c>
      <c r="B211" s="161" t="s">
        <v>314</v>
      </c>
      <c r="C211" s="161"/>
      <c r="D211" s="161"/>
      <c r="E211" s="161"/>
      <c r="F211" s="161"/>
      <c r="G211" s="69"/>
      <c r="H211" s="69"/>
      <c r="L211" t="e">
        <f t="shared" si="17"/>
        <v>#N/A</v>
      </c>
      <c r="M211">
        <f t="shared" si="18"/>
        <v>0</v>
      </c>
      <c r="N211">
        <f t="shared" si="19"/>
        <v>0</v>
      </c>
    </row>
    <row r="212" spans="1:14" x14ac:dyDescent="0.25">
      <c r="A212" s="24" t="s">
        <v>307</v>
      </c>
      <c r="B212" s="161" t="s">
        <v>310</v>
      </c>
      <c r="C212" s="161"/>
      <c r="D212" s="161"/>
      <c r="E212" s="161"/>
      <c r="F212" s="161"/>
      <c r="G212" s="69"/>
      <c r="H212" s="69"/>
      <c r="L212" t="e">
        <f t="shared" si="17"/>
        <v>#N/A</v>
      </c>
      <c r="M212">
        <f t="shared" si="18"/>
        <v>0</v>
      </c>
      <c r="N212">
        <f t="shared" si="19"/>
        <v>0</v>
      </c>
    </row>
    <row r="213" spans="1:14" x14ac:dyDescent="0.25">
      <c r="A213" s="24" t="s">
        <v>308</v>
      </c>
      <c r="B213" s="161" t="s">
        <v>311</v>
      </c>
      <c r="C213" s="161"/>
      <c r="D213" s="161"/>
      <c r="E213" s="161"/>
      <c r="F213" s="161"/>
      <c r="G213" s="69"/>
      <c r="H213" s="69"/>
      <c r="L213" t="e">
        <f t="shared" si="17"/>
        <v>#N/A</v>
      </c>
      <c r="M213">
        <f t="shared" si="18"/>
        <v>0</v>
      </c>
      <c r="N213">
        <f t="shared" si="19"/>
        <v>0</v>
      </c>
    </row>
    <row r="214" spans="1:14" x14ac:dyDescent="0.25">
      <c r="A214" s="24" t="s">
        <v>615</v>
      </c>
      <c r="B214" s="161" t="s">
        <v>616</v>
      </c>
      <c r="C214" s="161"/>
      <c r="D214" s="161"/>
      <c r="E214" s="161"/>
      <c r="F214" s="161"/>
      <c r="G214" s="69"/>
      <c r="H214" s="69"/>
      <c r="L214" t="e">
        <f t="shared" si="17"/>
        <v>#N/A</v>
      </c>
      <c r="M214">
        <f t="shared" si="18"/>
        <v>0</v>
      </c>
      <c r="N214">
        <f t="shared" si="19"/>
        <v>0</v>
      </c>
    </row>
    <row r="215" spans="1:14" x14ac:dyDescent="0.25">
      <c r="L215" t="e">
        <f t="shared" si="17"/>
        <v>#N/A</v>
      </c>
      <c r="M215">
        <f t="shared" si="18"/>
        <v>0</v>
      </c>
      <c r="N215">
        <f t="shared" si="19"/>
        <v>0</v>
      </c>
    </row>
    <row r="216" spans="1:14" x14ac:dyDescent="0.25">
      <c r="L216" t="e">
        <f t="shared" si="17"/>
        <v>#N/A</v>
      </c>
      <c r="M216">
        <f t="shared" si="18"/>
        <v>0</v>
      </c>
      <c r="N216">
        <f t="shared" si="19"/>
        <v>0</v>
      </c>
    </row>
    <row r="217" spans="1:14" x14ac:dyDescent="0.25">
      <c r="A217" s="159" t="s">
        <v>19</v>
      </c>
      <c r="B217" s="159"/>
      <c r="C217" s="159"/>
      <c r="D217" s="159"/>
      <c r="E217" s="159"/>
      <c r="F217" s="159"/>
      <c r="G217" s="65"/>
      <c r="H217" s="65"/>
      <c r="L217" t="e">
        <f t="shared" si="17"/>
        <v>#N/A</v>
      </c>
      <c r="M217">
        <f t="shared" si="18"/>
        <v>0</v>
      </c>
      <c r="N217">
        <f t="shared" si="19"/>
        <v>0</v>
      </c>
    </row>
    <row r="218" spans="1:14" x14ac:dyDescent="0.25">
      <c r="A218" s="62" t="s">
        <v>15</v>
      </c>
      <c r="B218" s="157" t="s">
        <v>14</v>
      </c>
      <c r="C218" s="157"/>
      <c r="D218" s="157"/>
      <c r="E218" s="157"/>
      <c r="F218" s="157"/>
      <c r="G218" s="62" t="s">
        <v>15</v>
      </c>
      <c r="H218" s="62" t="s">
        <v>16</v>
      </c>
      <c r="L218" t="e">
        <f t="shared" si="17"/>
        <v>#N/A</v>
      </c>
      <c r="M218">
        <f t="shared" si="18"/>
        <v>0</v>
      </c>
      <c r="N218">
        <f t="shared" si="19"/>
        <v>0</v>
      </c>
    </row>
    <row r="219" spans="1:14" x14ac:dyDescent="0.25">
      <c r="A219" t="s">
        <v>327</v>
      </c>
      <c r="B219" s="160" t="str">
        <f>VLOOKUP(A219,RN_BN!$A$3:$D$193,2,FALSE)</f>
        <v>Catálogo de Sucursales a fín de poder ser asociados a los almacenes del restaurante</v>
      </c>
      <c r="C219" s="160"/>
      <c r="D219" s="160"/>
      <c r="E219" s="160"/>
      <c r="F219" s="160"/>
      <c r="G219" t="str">
        <f>A223</f>
        <v>UI_01_Al_01</v>
      </c>
      <c r="H219" t="s">
        <v>328</v>
      </c>
      <c r="L219" t="str">
        <f t="shared" si="17"/>
        <v>Al_01_05</v>
      </c>
      <c r="M219" t="str">
        <f t="shared" si="18"/>
        <v>UI_01_Al_01</v>
      </c>
      <c r="N219" t="str">
        <f t="shared" si="19"/>
        <v>Catálogo de Sucursales</v>
      </c>
    </row>
    <row r="220" spans="1:14" x14ac:dyDescent="0.25">
      <c r="L220" t="e">
        <f t="shared" si="17"/>
        <v>#N/A</v>
      </c>
      <c r="M220">
        <f t="shared" si="18"/>
        <v>0</v>
      </c>
      <c r="N220">
        <f t="shared" si="19"/>
        <v>0</v>
      </c>
    </row>
    <row r="221" spans="1:14" x14ac:dyDescent="0.25">
      <c r="A221" s="157" t="s">
        <v>143</v>
      </c>
      <c r="B221" s="157"/>
      <c r="C221" s="157" t="s">
        <v>18</v>
      </c>
      <c r="D221" s="157"/>
      <c r="E221" s="157"/>
      <c r="F221" s="157"/>
      <c r="G221" s="63"/>
      <c r="H221" s="63"/>
      <c r="L221" t="e">
        <f t="shared" si="17"/>
        <v>#N/A</v>
      </c>
      <c r="M221">
        <f t="shared" si="18"/>
        <v>0</v>
      </c>
      <c r="N221">
        <f t="shared" si="19"/>
        <v>0</v>
      </c>
    </row>
    <row r="222" spans="1:14" x14ac:dyDescent="0.25">
      <c r="A222" s="62" t="s">
        <v>15</v>
      </c>
      <c r="B222" s="62" t="s">
        <v>16</v>
      </c>
      <c r="C222" s="62" t="s">
        <v>15</v>
      </c>
      <c r="D222" s="62" t="s">
        <v>14</v>
      </c>
      <c r="E222" s="62" t="s">
        <v>8</v>
      </c>
      <c r="F222" s="62" t="s">
        <v>142</v>
      </c>
      <c r="G222" s="62"/>
      <c r="H222" s="62"/>
      <c r="L222" t="e">
        <f t="shared" si="17"/>
        <v>#N/A</v>
      </c>
      <c r="M222">
        <f t="shared" si="18"/>
        <v>0</v>
      </c>
      <c r="N222">
        <f t="shared" si="19"/>
        <v>0</v>
      </c>
    </row>
    <row r="223" spans="1:14" x14ac:dyDescent="0.25">
      <c r="A223" t="str">
        <f>CONCATENATE("UI","_",F223,"_",C223)</f>
        <v>UI_01_Al_01</v>
      </c>
      <c r="B223" t="s">
        <v>328</v>
      </c>
      <c r="C223" t="str">
        <f>VLOOKUP(A219,RN_BN!$A$3:$D$193,3,FALSE)</f>
        <v>Al_01</v>
      </c>
      <c r="D223" t="e">
        <f>VLOOKUP(A219,RN_BN!$A$3:$D$193,4,FALSE)</f>
        <v>#N/A</v>
      </c>
      <c r="E223" t="e">
        <f>VLOOKUP(C223,RN_BN!$C$3:$F$193,4,FALSE)</f>
        <v>#N/A</v>
      </c>
      <c r="F223" s="22" t="s">
        <v>47</v>
      </c>
      <c r="G223" s="22"/>
      <c r="H223" s="22"/>
      <c r="L223" t="e">
        <f t="shared" si="17"/>
        <v>#N/A</v>
      </c>
      <c r="M223">
        <f t="shared" si="18"/>
        <v>0</v>
      </c>
      <c r="N223">
        <f t="shared" si="19"/>
        <v>0</v>
      </c>
    </row>
    <row r="224" spans="1:14" x14ac:dyDescent="0.25">
      <c r="L224" t="e">
        <f t="shared" si="17"/>
        <v>#N/A</v>
      </c>
      <c r="M224">
        <f t="shared" si="18"/>
        <v>0</v>
      </c>
      <c r="N224">
        <f t="shared" si="19"/>
        <v>0</v>
      </c>
    </row>
    <row r="225" spans="1:14" x14ac:dyDescent="0.25">
      <c r="A225" s="62" t="s">
        <v>162</v>
      </c>
      <c r="B225" s="158" t="s">
        <v>16</v>
      </c>
      <c r="C225" s="158"/>
      <c r="D225" s="158"/>
      <c r="E225" s="158"/>
      <c r="F225" s="158"/>
      <c r="G225" s="68"/>
      <c r="H225" s="68"/>
      <c r="L225" t="e">
        <f t="shared" si="17"/>
        <v>#N/A</v>
      </c>
      <c r="M225">
        <f t="shared" si="18"/>
        <v>0</v>
      </c>
      <c r="N225">
        <f t="shared" si="19"/>
        <v>0</v>
      </c>
    </row>
    <row r="226" spans="1:14" x14ac:dyDescent="0.25">
      <c r="A226" s="24" t="s">
        <v>318</v>
      </c>
      <c r="B226" s="156" t="s">
        <v>319</v>
      </c>
      <c r="C226" s="156"/>
      <c r="D226" s="156"/>
      <c r="E226" s="156"/>
      <c r="F226" s="156"/>
      <c r="G226" s="67"/>
      <c r="H226" s="67"/>
      <c r="L226" t="e">
        <f t="shared" si="17"/>
        <v>#N/A</v>
      </c>
      <c r="M226">
        <f t="shared" si="18"/>
        <v>0</v>
      </c>
      <c r="N226">
        <f t="shared" si="19"/>
        <v>0</v>
      </c>
    </row>
    <row r="227" spans="1:14" x14ac:dyDescent="0.25">
      <c r="L227" t="e">
        <f t="shared" si="17"/>
        <v>#N/A</v>
      </c>
      <c r="M227">
        <f t="shared" si="18"/>
        <v>0</v>
      </c>
      <c r="N227">
        <f t="shared" si="19"/>
        <v>0</v>
      </c>
    </row>
    <row r="228" spans="1:14" x14ac:dyDescent="0.25">
      <c r="A228" s="62" t="s">
        <v>163</v>
      </c>
      <c r="B228" s="158" t="s">
        <v>16</v>
      </c>
      <c r="C228" s="158"/>
      <c r="D228" s="158"/>
      <c r="E228" s="158"/>
      <c r="F228" s="158"/>
      <c r="G228" s="68"/>
      <c r="H228" s="68"/>
      <c r="L228" t="e">
        <f t="shared" si="17"/>
        <v>#N/A</v>
      </c>
      <c r="M228">
        <f t="shared" si="18"/>
        <v>0</v>
      </c>
      <c r="N228">
        <f t="shared" si="19"/>
        <v>0</v>
      </c>
    </row>
    <row r="229" spans="1:14" x14ac:dyDescent="0.25">
      <c r="A229" s="24" t="s">
        <v>320</v>
      </c>
      <c r="B229" s="161" t="s">
        <v>323</v>
      </c>
      <c r="C229" s="161"/>
      <c r="D229" s="161"/>
      <c r="E229" s="161"/>
      <c r="F229" s="161"/>
      <c r="G229" s="69"/>
      <c r="H229" s="69"/>
      <c r="L229" t="e">
        <f t="shared" si="17"/>
        <v>#N/A</v>
      </c>
      <c r="M229">
        <f t="shared" si="18"/>
        <v>0</v>
      </c>
      <c r="N229">
        <f t="shared" si="19"/>
        <v>0</v>
      </c>
    </row>
    <row r="230" spans="1:14" x14ac:dyDescent="0.25">
      <c r="A230" s="24" t="s">
        <v>321</v>
      </c>
      <c r="B230" s="161" t="s">
        <v>324</v>
      </c>
      <c r="C230" s="161"/>
      <c r="D230" s="161"/>
      <c r="E230" s="161"/>
      <c r="F230" s="161"/>
      <c r="G230" s="69"/>
      <c r="H230" s="69"/>
      <c r="L230" t="e">
        <f t="shared" si="17"/>
        <v>#N/A</v>
      </c>
      <c r="M230">
        <f t="shared" si="18"/>
        <v>0</v>
      </c>
      <c r="N230">
        <f t="shared" si="19"/>
        <v>0</v>
      </c>
    </row>
    <row r="231" spans="1:14" x14ac:dyDescent="0.25">
      <c r="A231" s="24" t="s">
        <v>322</v>
      </c>
      <c r="B231" s="161" t="s">
        <v>325</v>
      </c>
      <c r="C231" s="161"/>
      <c r="D231" s="161"/>
      <c r="E231" s="161"/>
      <c r="F231" s="161"/>
      <c r="G231" s="69"/>
      <c r="H231" s="69"/>
      <c r="L231" t="e">
        <f t="shared" si="17"/>
        <v>#N/A</v>
      </c>
      <c r="M231">
        <f t="shared" si="18"/>
        <v>0</v>
      </c>
      <c r="N231">
        <f t="shared" si="19"/>
        <v>0</v>
      </c>
    </row>
    <row r="232" spans="1:14" x14ac:dyDescent="0.25">
      <c r="A232" s="24" t="s">
        <v>617</v>
      </c>
      <c r="B232" s="161" t="s">
        <v>618</v>
      </c>
      <c r="C232" s="161"/>
      <c r="D232" s="161"/>
      <c r="E232" s="161"/>
      <c r="F232" s="161"/>
      <c r="G232" s="69"/>
      <c r="H232" s="69"/>
      <c r="L232" t="e">
        <f t="shared" si="17"/>
        <v>#N/A</v>
      </c>
      <c r="M232">
        <f t="shared" si="18"/>
        <v>0</v>
      </c>
      <c r="N232">
        <f t="shared" si="19"/>
        <v>0</v>
      </c>
    </row>
    <row r="233" spans="1:14" x14ac:dyDescent="0.25">
      <c r="L233" t="e">
        <f t="shared" si="17"/>
        <v>#N/A</v>
      </c>
      <c r="M233">
        <f t="shared" si="18"/>
        <v>0</v>
      </c>
      <c r="N233">
        <f t="shared" si="19"/>
        <v>0</v>
      </c>
    </row>
    <row r="234" spans="1:14" x14ac:dyDescent="0.25">
      <c r="L234" t="e">
        <f t="shared" si="17"/>
        <v>#N/A</v>
      </c>
      <c r="M234">
        <f t="shared" si="18"/>
        <v>0</v>
      </c>
      <c r="N234">
        <f t="shared" si="19"/>
        <v>0</v>
      </c>
    </row>
    <row r="235" spans="1:14" x14ac:dyDescent="0.25">
      <c r="A235" s="159" t="s">
        <v>19</v>
      </c>
      <c r="B235" s="159"/>
      <c r="C235" s="159"/>
      <c r="D235" s="159"/>
      <c r="E235" s="159"/>
      <c r="F235" s="159"/>
      <c r="G235" s="65"/>
      <c r="H235" s="65"/>
      <c r="L235" t="e">
        <f t="shared" si="17"/>
        <v>#N/A</v>
      </c>
      <c r="M235">
        <f t="shared" si="18"/>
        <v>0</v>
      </c>
      <c r="N235">
        <f t="shared" si="19"/>
        <v>0</v>
      </c>
    </row>
    <row r="236" spans="1:14" x14ac:dyDescent="0.25">
      <c r="A236" s="62" t="s">
        <v>15</v>
      </c>
      <c r="B236" s="157" t="s">
        <v>14</v>
      </c>
      <c r="C236" s="157"/>
      <c r="D236" s="157"/>
      <c r="E236" s="157"/>
      <c r="F236" s="157"/>
      <c r="G236" s="62" t="s">
        <v>15</v>
      </c>
      <c r="H236" s="62" t="s">
        <v>16</v>
      </c>
      <c r="L236" t="e">
        <f t="shared" si="17"/>
        <v>#N/A</v>
      </c>
      <c r="M236">
        <f t="shared" si="18"/>
        <v>0</v>
      </c>
      <c r="N236">
        <f t="shared" si="19"/>
        <v>0</v>
      </c>
    </row>
    <row r="237" spans="1:14" x14ac:dyDescent="0.25">
      <c r="A237" t="s">
        <v>139</v>
      </c>
      <c r="B237" s="160" t="e">
        <f>VLOOKUP(A237,RN_BN!$A$3:$D$193,2,FALSE)</f>
        <v>#N/A</v>
      </c>
      <c r="C237" s="160"/>
      <c r="D237" s="160"/>
      <c r="E237" s="160"/>
      <c r="F237" s="160"/>
      <c r="G237" t="e">
        <f>A241</f>
        <v>#N/A</v>
      </c>
      <c r="H237" t="s">
        <v>345</v>
      </c>
      <c r="L237" t="str">
        <f t="shared" si="17"/>
        <v>Al_01_01</v>
      </c>
      <c r="M237" t="e">
        <f t="shared" si="18"/>
        <v>#N/A</v>
      </c>
      <c r="N237" t="str">
        <f t="shared" si="19"/>
        <v>Catálogo de Almacenes</v>
      </c>
    </row>
    <row r="238" spans="1:14" x14ac:dyDescent="0.25">
      <c r="L238" t="e">
        <f t="shared" si="17"/>
        <v>#N/A</v>
      </c>
      <c r="M238">
        <f t="shared" si="18"/>
        <v>0</v>
      </c>
      <c r="N238">
        <f t="shared" si="19"/>
        <v>0</v>
      </c>
    </row>
    <row r="239" spans="1:14" x14ac:dyDescent="0.25">
      <c r="A239" s="157" t="s">
        <v>143</v>
      </c>
      <c r="B239" s="157"/>
      <c r="C239" s="157" t="s">
        <v>18</v>
      </c>
      <c r="D239" s="157"/>
      <c r="E239" s="157"/>
      <c r="F239" s="157"/>
      <c r="G239" s="63"/>
      <c r="H239" s="63"/>
      <c r="L239" t="e">
        <f t="shared" si="17"/>
        <v>#N/A</v>
      </c>
      <c r="M239">
        <f t="shared" si="18"/>
        <v>0</v>
      </c>
      <c r="N239">
        <f t="shared" si="19"/>
        <v>0</v>
      </c>
    </row>
    <row r="240" spans="1:14" x14ac:dyDescent="0.25">
      <c r="A240" s="62" t="s">
        <v>15</v>
      </c>
      <c r="B240" s="62" t="s">
        <v>16</v>
      </c>
      <c r="C240" s="62" t="s">
        <v>15</v>
      </c>
      <c r="D240" s="62" t="s">
        <v>14</v>
      </c>
      <c r="E240" s="62" t="s">
        <v>8</v>
      </c>
      <c r="F240" s="62" t="s">
        <v>142</v>
      </c>
      <c r="G240" s="62"/>
      <c r="H240" s="62"/>
      <c r="L240" t="e">
        <f t="shared" si="17"/>
        <v>#N/A</v>
      </c>
      <c r="M240">
        <f t="shared" si="18"/>
        <v>0</v>
      </c>
      <c r="N240">
        <f t="shared" si="19"/>
        <v>0</v>
      </c>
    </row>
    <row r="241" spans="1:14" x14ac:dyDescent="0.25">
      <c r="A241" t="e">
        <f>CONCATENATE("UI","_",F241,"_",C241)</f>
        <v>#N/A</v>
      </c>
      <c r="B241" t="s">
        <v>345</v>
      </c>
      <c r="C241" t="e">
        <f>VLOOKUP(A237,RN_BN!$A$3:$D$193,3,FALSE)</f>
        <v>#N/A</v>
      </c>
      <c r="D241" t="e">
        <f>VLOOKUP(A237,RN_BN!$A$3:$D$193,4,FALSE)</f>
        <v>#N/A</v>
      </c>
      <c r="E241" t="e">
        <f>VLOOKUP(C241,RN_BN!$C$3:$F$193,4,FALSE)</f>
        <v>#N/A</v>
      </c>
      <c r="F241" s="22" t="s">
        <v>48</v>
      </c>
      <c r="G241" s="22"/>
      <c r="H241" s="22"/>
      <c r="L241" t="e">
        <f t="shared" si="17"/>
        <v>#N/A</v>
      </c>
      <c r="M241">
        <f t="shared" si="18"/>
        <v>0</v>
      </c>
      <c r="N241">
        <f t="shared" si="19"/>
        <v>0</v>
      </c>
    </row>
    <row r="242" spans="1:14" x14ac:dyDescent="0.25">
      <c r="L242" t="e">
        <f t="shared" si="17"/>
        <v>#N/A</v>
      </c>
      <c r="M242">
        <f t="shared" si="18"/>
        <v>0</v>
      </c>
      <c r="N242">
        <f t="shared" si="19"/>
        <v>0</v>
      </c>
    </row>
    <row r="243" spans="1:14" x14ac:dyDescent="0.25">
      <c r="A243" s="62" t="s">
        <v>162</v>
      </c>
      <c r="B243" s="158" t="s">
        <v>16</v>
      </c>
      <c r="C243" s="158"/>
      <c r="D243" s="158"/>
      <c r="E243" s="158"/>
      <c r="F243" s="158"/>
      <c r="G243" s="68"/>
      <c r="H243" s="68"/>
      <c r="L243" t="e">
        <f t="shared" si="17"/>
        <v>#N/A</v>
      </c>
      <c r="M243">
        <f t="shared" si="18"/>
        <v>0</v>
      </c>
      <c r="N243">
        <f t="shared" si="19"/>
        <v>0</v>
      </c>
    </row>
    <row r="244" spans="1:14" x14ac:dyDescent="0.25">
      <c r="A244" s="24" t="s">
        <v>331</v>
      </c>
      <c r="B244" s="156" t="s">
        <v>329</v>
      </c>
      <c r="C244" s="156"/>
      <c r="D244" s="156"/>
      <c r="E244" s="156"/>
      <c r="F244" s="156"/>
      <c r="G244" s="67"/>
      <c r="H244" s="67"/>
      <c r="L244" t="e">
        <f t="shared" si="17"/>
        <v>#N/A</v>
      </c>
      <c r="M244">
        <f t="shared" si="18"/>
        <v>0</v>
      </c>
      <c r="N244">
        <f t="shared" si="19"/>
        <v>0</v>
      </c>
    </row>
    <row r="245" spans="1:14" x14ac:dyDescent="0.25">
      <c r="A245" s="24" t="s">
        <v>318</v>
      </c>
      <c r="B245" s="156" t="s">
        <v>332</v>
      </c>
      <c r="C245" s="156"/>
      <c r="D245" s="156"/>
      <c r="E245" s="156"/>
      <c r="F245" s="156"/>
      <c r="G245" s="67"/>
      <c r="H245" s="67"/>
      <c r="L245" t="e">
        <f t="shared" si="17"/>
        <v>#N/A</v>
      </c>
      <c r="M245">
        <f t="shared" si="18"/>
        <v>0</v>
      </c>
      <c r="N245">
        <f t="shared" si="19"/>
        <v>0</v>
      </c>
    </row>
    <row r="246" spans="1:14" x14ac:dyDescent="0.25">
      <c r="A246" s="24" t="s">
        <v>330</v>
      </c>
      <c r="B246" s="156" t="s">
        <v>333</v>
      </c>
      <c r="C246" s="156"/>
      <c r="D246" s="156"/>
      <c r="E246" s="156"/>
      <c r="F246" s="156"/>
      <c r="G246" s="67"/>
      <c r="H246" s="67"/>
      <c r="L246" t="e">
        <f t="shared" si="17"/>
        <v>#N/A</v>
      </c>
      <c r="M246">
        <f t="shared" si="18"/>
        <v>0</v>
      </c>
      <c r="N246">
        <f t="shared" si="19"/>
        <v>0</v>
      </c>
    </row>
    <row r="247" spans="1:14" x14ac:dyDescent="0.25">
      <c r="L247" t="e">
        <f t="shared" si="17"/>
        <v>#N/A</v>
      </c>
      <c r="M247">
        <f t="shared" si="18"/>
        <v>0</v>
      </c>
      <c r="N247">
        <f t="shared" si="19"/>
        <v>0</v>
      </c>
    </row>
    <row r="248" spans="1:14" x14ac:dyDescent="0.25">
      <c r="A248" s="62" t="s">
        <v>163</v>
      </c>
      <c r="B248" s="158" t="s">
        <v>16</v>
      </c>
      <c r="C248" s="158"/>
      <c r="D248" s="158"/>
      <c r="E248" s="158"/>
      <c r="F248" s="158"/>
      <c r="G248" s="68"/>
      <c r="H248" s="68"/>
      <c r="L248" t="e">
        <f t="shared" si="17"/>
        <v>#N/A</v>
      </c>
      <c r="M248">
        <f t="shared" si="18"/>
        <v>0</v>
      </c>
      <c r="N248">
        <f t="shared" si="19"/>
        <v>0</v>
      </c>
    </row>
    <row r="249" spans="1:14" x14ac:dyDescent="0.25">
      <c r="A249" s="24" t="s">
        <v>334</v>
      </c>
      <c r="B249" s="161" t="s">
        <v>337</v>
      </c>
      <c r="C249" s="161"/>
      <c r="D249" s="161"/>
      <c r="E249" s="161"/>
      <c r="F249" s="161"/>
      <c r="G249" s="69"/>
      <c r="H249" s="69"/>
      <c r="L249" t="e">
        <f t="shared" si="17"/>
        <v>#N/A</v>
      </c>
      <c r="M249">
        <f t="shared" si="18"/>
        <v>0</v>
      </c>
      <c r="N249">
        <f t="shared" si="19"/>
        <v>0</v>
      </c>
    </row>
    <row r="250" spans="1:14" x14ac:dyDescent="0.25">
      <c r="A250" s="24" t="s">
        <v>335</v>
      </c>
      <c r="B250" s="161" t="s">
        <v>338</v>
      </c>
      <c r="C250" s="161"/>
      <c r="D250" s="161"/>
      <c r="E250" s="161"/>
      <c r="F250" s="161"/>
      <c r="G250" s="69"/>
      <c r="H250" s="69"/>
      <c r="L250" t="e">
        <f t="shared" si="17"/>
        <v>#N/A</v>
      </c>
      <c r="M250">
        <f t="shared" si="18"/>
        <v>0</v>
      </c>
      <c r="N250">
        <f t="shared" si="19"/>
        <v>0</v>
      </c>
    </row>
    <row r="251" spans="1:14" x14ac:dyDescent="0.25">
      <c r="A251" s="24" t="s">
        <v>336</v>
      </c>
      <c r="B251" s="161" t="s">
        <v>339</v>
      </c>
      <c r="C251" s="161"/>
      <c r="D251" s="161"/>
      <c r="E251" s="161"/>
      <c r="F251" s="161"/>
      <c r="G251" s="69"/>
      <c r="H251" s="69"/>
      <c r="L251" t="e">
        <f t="shared" si="17"/>
        <v>#N/A</v>
      </c>
      <c r="M251">
        <f t="shared" si="18"/>
        <v>0</v>
      </c>
      <c r="N251">
        <f t="shared" si="19"/>
        <v>0</v>
      </c>
    </row>
    <row r="252" spans="1:14" x14ac:dyDescent="0.25">
      <c r="A252" s="24" t="s">
        <v>619</v>
      </c>
      <c r="B252" s="161" t="s">
        <v>620</v>
      </c>
      <c r="C252" s="161"/>
      <c r="D252" s="161"/>
      <c r="E252" s="161"/>
      <c r="F252" s="161"/>
      <c r="G252" s="69"/>
      <c r="H252" s="69"/>
      <c r="L252" t="e">
        <f t="shared" si="17"/>
        <v>#N/A</v>
      </c>
      <c r="M252">
        <f t="shared" si="18"/>
        <v>0</v>
      </c>
      <c r="N252">
        <f t="shared" si="19"/>
        <v>0</v>
      </c>
    </row>
    <row r="253" spans="1:14" x14ac:dyDescent="0.25">
      <c r="L253" t="e">
        <f t="shared" ref="L253:L316" si="20">IF(VLOOKUP(A253,$K$3:$K$82,1,FALSE)=A253,A253)</f>
        <v>#N/A</v>
      </c>
      <c r="M253">
        <f t="shared" si="18"/>
        <v>0</v>
      </c>
      <c r="N253">
        <f t="shared" si="19"/>
        <v>0</v>
      </c>
    </row>
    <row r="254" spans="1:14" x14ac:dyDescent="0.25">
      <c r="L254" t="e">
        <f t="shared" si="20"/>
        <v>#N/A</v>
      </c>
      <c r="M254">
        <f t="shared" si="18"/>
        <v>0</v>
      </c>
      <c r="N254">
        <f t="shared" si="19"/>
        <v>0</v>
      </c>
    </row>
    <row r="255" spans="1:14" x14ac:dyDescent="0.25">
      <c r="A255" s="159" t="s">
        <v>19</v>
      </c>
      <c r="B255" s="159"/>
      <c r="C255" s="159"/>
      <c r="D255" s="159"/>
      <c r="E255" s="159"/>
      <c r="F255" s="159"/>
      <c r="G255" s="65"/>
      <c r="H255" s="65"/>
      <c r="L255" t="e">
        <f t="shared" si="20"/>
        <v>#N/A</v>
      </c>
      <c r="M255">
        <f t="shared" si="18"/>
        <v>0</v>
      </c>
      <c r="N255">
        <f t="shared" si="19"/>
        <v>0</v>
      </c>
    </row>
    <row r="256" spans="1:14" x14ac:dyDescent="0.25">
      <c r="A256" s="62" t="s">
        <v>15</v>
      </c>
      <c r="B256" s="157" t="s">
        <v>14</v>
      </c>
      <c r="C256" s="157"/>
      <c r="D256" s="157"/>
      <c r="E256" s="157"/>
      <c r="F256" s="157"/>
      <c r="G256" s="62" t="s">
        <v>15</v>
      </c>
      <c r="H256" s="62" t="s">
        <v>16</v>
      </c>
      <c r="L256" t="e">
        <f t="shared" si="20"/>
        <v>#N/A</v>
      </c>
      <c r="M256">
        <f t="shared" si="18"/>
        <v>0</v>
      </c>
      <c r="N256">
        <f t="shared" si="19"/>
        <v>0</v>
      </c>
    </row>
    <row r="257" spans="1:14" x14ac:dyDescent="0.25">
      <c r="A257" t="s">
        <v>356</v>
      </c>
      <c r="B257" s="160" t="e">
        <f>VLOOKUP(A257,RN_BN!$A$3:$D$193,2,FALSE)</f>
        <v>#N/A</v>
      </c>
      <c r="C257" s="160"/>
      <c r="D257" s="160"/>
      <c r="E257" s="160"/>
      <c r="F257" s="160"/>
      <c r="G257" t="e">
        <f>A261</f>
        <v>#N/A</v>
      </c>
      <c r="H257" t="s">
        <v>346</v>
      </c>
      <c r="L257" t="str">
        <f t="shared" si="20"/>
        <v>Al_01_02</v>
      </c>
      <c r="M257" t="e">
        <f t="shared" si="18"/>
        <v>#N/A</v>
      </c>
      <c r="N257" t="str">
        <f t="shared" si="19"/>
        <v>Catálogo de Localidades del Almacén</v>
      </c>
    </row>
    <row r="258" spans="1:14" x14ac:dyDescent="0.25">
      <c r="L258" t="e">
        <f t="shared" si="20"/>
        <v>#N/A</v>
      </c>
      <c r="M258">
        <f t="shared" si="18"/>
        <v>0</v>
      </c>
      <c r="N258">
        <f t="shared" si="19"/>
        <v>0</v>
      </c>
    </row>
    <row r="259" spans="1:14" x14ac:dyDescent="0.25">
      <c r="A259" s="157" t="s">
        <v>143</v>
      </c>
      <c r="B259" s="157"/>
      <c r="C259" s="157" t="s">
        <v>18</v>
      </c>
      <c r="D259" s="157"/>
      <c r="E259" s="157"/>
      <c r="F259" s="157"/>
      <c r="G259" s="63"/>
      <c r="H259" s="63"/>
      <c r="L259" t="e">
        <f t="shared" si="20"/>
        <v>#N/A</v>
      </c>
      <c r="M259">
        <f t="shared" ref="M259:M322" si="21">IF(ISNA(L259),,G259)</f>
        <v>0</v>
      </c>
      <c r="N259">
        <f t="shared" si="19"/>
        <v>0</v>
      </c>
    </row>
    <row r="260" spans="1:14" x14ac:dyDescent="0.25">
      <c r="A260" s="62" t="s">
        <v>15</v>
      </c>
      <c r="B260" s="62" t="s">
        <v>16</v>
      </c>
      <c r="C260" s="62" t="s">
        <v>15</v>
      </c>
      <c r="D260" s="62" t="s">
        <v>14</v>
      </c>
      <c r="E260" s="62" t="s">
        <v>8</v>
      </c>
      <c r="F260" s="62" t="s">
        <v>142</v>
      </c>
      <c r="G260" s="62"/>
      <c r="H260" s="62"/>
      <c r="L260" t="e">
        <f t="shared" si="20"/>
        <v>#N/A</v>
      </c>
      <c r="M260">
        <f t="shared" si="21"/>
        <v>0</v>
      </c>
      <c r="N260">
        <f t="shared" si="19"/>
        <v>0</v>
      </c>
    </row>
    <row r="261" spans="1:14" x14ac:dyDescent="0.25">
      <c r="A261" t="e">
        <f>CONCATENATE("UI","_",F261,"_",C261)</f>
        <v>#N/A</v>
      </c>
      <c r="B261" t="s">
        <v>346</v>
      </c>
      <c r="C261" t="e">
        <f>VLOOKUP(A257,RN_BN!$A$3:$D$193,3,FALSE)</f>
        <v>#N/A</v>
      </c>
      <c r="D261" t="e">
        <f>VLOOKUP(A257,RN_BN!$A$3:$D$193,4,FALSE)</f>
        <v>#N/A</v>
      </c>
      <c r="E261" t="e">
        <f>VLOOKUP(C261,RN_BN!$C$3:$F$193,4,FALSE)</f>
        <v>#N/A</v>
      </c>
      <c r="F261" s="22" t="s">
        <v>49</v>
      </c>
      <c r="G261" s="22"/>
      <c r="H261" s="22"/>
      <c r="L261" t="e">
        <f t="shared" si="20"/>
        <v>#N/A</v>
      </c>
      <c r="M261">
        <f t="shared" si="21"/>
        <v>0</v>
      </c>
      <c r="N261">
        <f t="shared" si="19"/>
        <v>0</v>
      </c>
    </row>
    <row r="262" spans="1:14" x14ac:dyDescent="0.25">
      <c r="L262" t="e">
        <f t="shared" si="20"/>
        <v>#N/A</v>
      </c>
      <c r="M262">
        <f t="shared" si="21"/>
        <v>0</v>
      </c>
      <c r="N262">
        <f t="shared" si="19"/>
        <v>0</v>
      </c>
    </row>
    <row r="263" spans="1:14" x14ac:dyDescent="0.25">
      <c r="A263" s="62" t="s">
        <v>162</v>
      </c>
      <c r="B263" s="158" t="s">
        <v>16</v>
      </c>
      <c r="C263" s="158"/>
      <c r="D263" s="158"/>
      <c r="E263" s="158"/>
      <c r="F263" s="158"/>
      <c r="G263" s="68"/>
      <c r="H263" s="68"/>
      <c r="L263" t="e">
        <f t="shared" si="20"/>
        <v>#N/A</v>
      </c>
      <c r="M263">
        <f t="shared" si="21"/>
        <v>0</v>
      </c>
      <c r="N263">
        <f t="shared" si="19"/>
        <v>0</v>
      </c>
    </row>
    <row r="264" spans="1:14" x14ac:dyDescent="0.25">
      <c r="A264" s="24" t="s">
        <v>331</v>
      </c>
      <c r="B264" s="156" t="s">
        <v>329</v>
      </c>
      <c r="C264" s="156"/>
      <c r="D264" s="156"/>
      <c r="E264" s="156"/>
      <c r="F264" s="156"/>
      <c r="G264" s="67"/>
      <c r="H264" s="67"/>
      <c r="L264" t="e">
        <f t="shared" si="20"/>
        <v>#N/A</v>
      </c>
      <c r="M264">
        <f t="shared" si="21"/>
        <v>0</v>
      </c>
      <c r="N264">
        <f t="shared" si="19"/>
        <v>0</v>
      </c>
    </row>
    <row r="265" spans="1:14" x14ac:dyDescent="0.25">
      <c r="A265" s="24" t="s">
        <v>318</v>
      </c>
      <c r="B265" s="156" t="s">
        <v>332</v>
      </c>
      <c r="C265" s="156"/>
      <c r="D265" s="156"/>
      <c r="E265" s="156"/>
      <c r="F265" s="156"/>
      <c r="G265" s="67"/>
      <c r="H265" s="67"/>
      <c r="L265" t="e">
        <f t="shared" si="20"/>
        <v>#N/A</v>
      </c>
      <c r="M265">
        <f t="shared" si="21"/>
        <v>0</v>
      </c>
      <c r="N265">
        <f t="shared" si="19"/>
        <v>0</v>
      </c>
    </row>
    <row r="266" spans="1:14" x14ac:dyDescent="0.25">
      <c r="A266" s="24" t="s">
        <v>347</v>
      </c>
      <c r="B266" s="156" t="s">
        <v>349</v>
      </c>
      <c r="C266" s="156"/>
      <c r="D266" s="156"/>
      <c r="E266" s="156"/>
      <c r="F266" s="156"/>
      <c r="G266" s="67"/>
      <c r="H266" s="67"/>
      <c r="L266" t="e">
        <f t="shared" si="20"/>
        <v>#N/A</v>
      </c>
      <c r="M266">
        <f t="shared" si="21"/>
        <v>0</v>
      </c>
      <c r="N266">
        <f t="shared" si="19"/>
        <v>0</v>
      </c>
    </row>
    <row r="267" spans="1:14" x14ac:dyDescent="0.25">
      <c r="A267" s="24" t="s">
        <v>16</v>
      </c>
      <c r="B267" s="156" t="s">
        <v>348</v>
      </c>
      <c r="C267" s="156"/>
      <c r="D267" s="156"/>
      <c r="E267" s="156"/>
      <c r="F267" s="156"/>
      <c r="G267" s="67"/>
      <c r="H267" s="67"/>
      <c r="L267" t="e">
        <f t="shared" si="20"/>
        <v>#N/A</v>
      </c>
      <c r="M267">
        <f t="shared" si="21"/>
        <v>0</v>
      </c>
      <c r="N267">
        <f t="shared" si="19"/>
        <v>0</v>
      </c>
    </row>
    <row r="268" spans="1:14" x14ac:dyDescent="0.25">
      <c r="L268" t="e">
        <f t="shared" si="20"/>
        <v>#N/A</v>
      </c>
      <c r="M268">
        <f t="shared" si="21"/>
        <v>0</v>
      </c>
      <c r="N268">
        <f t="shared" ref="N268:N331" si="22">IF(ISNA(L268),,H268)</f>
        <v>0</v>
      </c>
    </row>
    <row r="269" spans="1:14" x14ac:dyDescent="0.25">
      <c r="A269" s="62" t="s">
        <v>163</v>
      </c>
      <c r="B269" s="158" t="s">
        <v>16</v>
      </c>
      <c r="C269" s="158"/>
      <c r="D269" s="158"/>
      <c r="E269" s="158"/>
      <c r="F269" s="158"/>
      <c r="G269" s="68"/>
      <c r="H269" s="68"/>
      <c r="L269" t="e">
        <f t="shared" si="20"/>
        <v>#N/A</v>
      </c>
      <c r="M269">
        <f t="shared" si="21"/>
        <v>0</v>
      </c>
      <c r="N269">
        <f t="shared" si="22"/>
        <v>0</v>
      </c>
    </row>
    <row r="270" spans="1:14" x14ac:dyDescent="0.25">
      <c r="A270" s="24" t="s">
        <v>350</v>
      </c>
      <c r="B270" s="161" t="s">
        <v>353</v>
      </c>
      <c r="C270" s="161"/>
      <c r="D270" s="161"/>
      <c r="E270" s="161"/>
      <c r="F270" s="161"/>
      <c r="G270" s="69"/>
      <c r="H270" s="69"/>
      <c r="L270" t="e">
        <f t="shared" si="20"/>
        <v>#N/A</v>
      </c>
      <c r="M270">
        <f t="shared" si="21"/>
        <v>0</v>
      </c>
      <c r="N270">
        <f t="shared" si="22"/>
        <v>0</v>
      </c>
    </row>
    <row r="271" spans="1:14" x14ac:dyDescent="0.25">
      <c r="A271" s="24" t="s">
        <v>351</v>
      </c>
      <c r="B271" s="161" t="s">
        <v>354</v>
      </c>
      <c r="C271" s="161"/>
      <c r="D271" s="161"/>
      <c r="E271" s="161"/>
      <c r="F271" s="161"/>
      <c r="G271" s="69"/>
      <c r="H271" s="69"/>
      <c r="L271" t="e">
        <f t="shared" si="20"/>
        <v>#N/A</v>
      </c>
      <c r="M271">
        <f t="shared" si="21"/>
        <v>0</v>
      </c>
      <c r="N271">
        <f t="shared" si="22"/>
        <v>0</v>
      </c>
    </row>
    <row r="272" spans="1:14" x14ac:dyDescent="0.25">
      <c r="A272" s="24" t="s">
        <v>352</v>
      </c>
      <c r="B272" s="161" t="s">
        <v>355</v>
      </c>
      <c r="C272" s="161"/>
      <c r="D272" s="161"/>
      <c r="E272" s="161"/>
      <c r="F272" s="161"/>
      <c r="G272" s="69"/>
      <c r="H272" s="69"/>
      <c r="L272" t="e">
        <f t="shared" si="20"/>
        <v>#N/A</v>
      </c>
      <c r="M272">
        <f t="shared" si="21"/>
        <v>0</v>
      </c>
      <c r="N272">
        <f t="shared" si="22"/>
        <v>0</v>
      </c>
    </row>
    <row r="273" spans="1:14" x14ac:dyDescent="0.25">
      <c r="A273" s="24" t="s">
        <v>621</v>
      </c>
      <c r="B273" s="161" t="s">
        <v>622</v>
      </c>
      <c r="C273" s="161"/>
      <c r="D273" s="161"/>
      <c r="E273" s="161"/>
      <c r="F273" s="161"/>
      <c r="G273" s="69"/>
      <c r="H273" s="69"/>
      <c r="L273" t="e">
        <f t="shared" si="20"/>
        <v>#N/A</v>
      </c>
      <c r="M273">
        <f t="shared" si="21"/>
        <v>0</v>
      </c>
      <c r="N273">
        <f t="shared" si="22"/>
        <v>0</v>
      </c>
    </row>
    <row r="274" spans="1:14" x14ac:dyDescent="0.25">
      <c r="L274" t="e">
        <f t="shared" si="20"/>
        <v>#N/A</v>
      </c>
      <c r="M274">
        <f t="shared" si="21"/>
        <v>0</v>
      </c>
      <c r="N274">
        <f t="shared" si="22"/>
        <v>0</v>
      </c>
    </row>
    <row r="275" spans="1:14" x14ac:dyDescent="0.25">
      <c r="L275" t="e">
        <f t="shared" si="20"/>
        <v>#N/A</v>
      </c>
      <c r="M275">
        <f t="shared" si="21"/>
        <v>0</v>
      </c>
      <c r="N275">
        <f t="shared" si="22"/>
        <v>0</v>
      </c>
    </row>
    <row r="276" spans="1:14" x14ac:dyDescent="0.25">
      <c r="A276" s="159" t="s">
        <v>19</v>
      </c>
      <c r="B276" s="159"/>
      <c r="C276" s="159"/>
      <c r="D276" s="159"/>
      <c r="E276" s="159"/>
      <c r="F276" s="159"/>
      <c r="G276" s="65"/>
      <c r="H276" s="65"/>
      <c r="L276" t="e">
        <f t="shared" si="20"/>
        <v>#N/A</v>
      </c>
      <c r="M276">
        <f t="shared" si="21"/>
        <v>0</v>
      </c>
      <c r="N276">
        <f t="shared" si="22"/>
        <v>0</v>
      </c>
    </row>
    <row r="277" spans="1:14" x14ac:dyDescent="0.25">
      <c r="A277" s="62" t="s">
        <v>15</v>
      </c>
      <c r="B277" s="157" t="s">
        <v>14</v>
      </c>
      <c r="C277" s="157"/>
      <c r="D277" s="157"/>
      <c r="E277" s="157"/>
      <c r="F277" s="157"/>
      <c r="G277" s="62" t="s">
        <v>15</v>
      </c>
      <c r="H277" s="62" t="s">
        <v>16</v>
      </c>
      <c r="L277" t="e">
        <f t="shared" si="20"/>
        <v>#N/A</v>
      </c>
      <c r="M277">
        <f t="shared" si="21"/>
        <v>0</v>
      </c>
      <c r="N277">
        <f t="shared" si="22"/>
        <v>0</v>
      </c>
    </row>
    <row r="278" spans="1:14" x14ac:dyDescent="0.25">
      <c r="A278" t="s">
        <v>253</v>
      </c>
      <c r="B278" s="160" t="e">
        <f>VLOOKUP(A278,RN_BN!$A$3:$D$193,2,FALSE)</f>
        <v>#N/A</v>
      </c>
      <c r="C278" s="160"/>
      <c r="D278" s="160"/>
      <c r="E278" s="160"/>
      <c r="F278" s="160"/>
      <c r="G278" t="e">
        <f t="shared" ref="G278:G283" si="23">$A$288</f>
        <v>#N/A</v>
      </c>
      <c r="H278" t="s">
        <v>359</v>
      </c>
      <c r="L278" t="str">
        <f t="shared" si="20"/>
        <v>Co_03_01</v>
      </c>
      <c r="M278" t="e">
        <f t="shared" si="21"/>
        <v>#N/A</v>
      </c>
      <c r="N278" t="str">
        <f t="shared" si="22"/>
        <v>Catálogo de mercancías</v>
      </c>
    </row>
    <row r="279" spans="1:14" x14ac:dyDescent="0.25">
      <c r="A279" t="s">
        <v>366</v>
      </c>
      <c r="B279" s="160" t="e">
        <f>VLOOKUP(A279,RN_BN!$A$3:$D$193,2,FALSE)</f>
        <v>#N/A</v>
      </c>
      <c r="C279" s="160"/>
      <c r="D279" s="160"/>
      <c r="E279" s="160"/>
      <c r="F279" s="160"/>
      <c r="G279" t="e">
        <f t="shared" si="23"/>
        <v>#N/A</v>
      </c>
      <c r="H279" t="s">
        <v>359</v>
      </c>
      <c r="L279" t="str">
        <f t="shared" si="20"/>
        <v>Co_03_09</v>
      </c>
      <c r="M279" t="e">
        <f t="shared" si="21"/>
        <v>#N/A</v>
      </c>
      <c r="N279" t="str">
        <f t="shared" si="22"/>
        <v>Catálogo de mercancías</v>
      </c>
    </row>
    <row r="280" spans="1:14" x14ac:dyDescent="0.25">
      <c r="A280" t="s">
        <v>255</v>
      </c>
      <c r="B280" s="160" t="e">
        <f>VLOOKUP(A280,RN_BN!$A$3:$D$193,2,FALSE)</f>
        <v>#N/A</v>
      </c>
      <c r="C280" s="160"/>
      <c r="D280" s="160"/>
      <c r="E280" s="160"/>
      <c r="F280" s="160"/>
      <c r="G280" t="e">
        <f t="shared" si="23"/>
        <v>#N/A</v>
      </c>
      <c r="H280" t="s">
        <v>359</v>
      </c>
      <c r="L280" t="str">
        <f t="shared" si="20"/>
        <v>Co_03_05</v>
      </c>
      <c r="M280" t="e">
        <f t="shared" si="21"/>
        <v>#N/A</v>
      </c>
      <c r="N280" t="str">
        <f t="shared" si="22"/>
        <v>Catálogo de mercancías</v>
      </c>
    </row>
    <row r="281" spans="1:14" x14ac:dyDescent="0.25">
      <c r="A281" t="s">
        <v>258</v>
      </c>
      <c r="B281" s="160" t="e">
        <f>VLOOKUP(A281,RN_BN!$A$3:$D$193,2,FALSE)</f>
        <v>#N/A</v>
      </c>
      <c r="C281" s="160"/>
      <c r="D281" s="160"/>
      <c r="E281" s="160"/>
      <c r="F281" s="160"/>
      <c r="G281" t="e">
        <f t="shared" si="23"/>
        <v>#N/A</v>
      </c>
      <c r="H281" t="s">
        <v>359</v>
      </c>
      <c r="L281" t="str">
        <f t="shared" si="20"/>
        <v>Co_03_04</v>
      </c>
      <c r="M281" t="e">
        <f t="shared" si="21"/>
        <v>#N/A</v>
      </c>
      <c r="N281" t="str">
        <f t="shared" si="22"/>
        <v>Catálogo de mercancías</v>
      </c>
    </row>
    <row r="282" spans="1:14" x14ac:dyDescent="0.25">
      <c r="A282" t="s">
        <v>257</v>
      </c>
      <c r="B282" s="160" t="str">
        <f>VLOOKUP(A282,RN_BN!$A$3:$D$193,2,FALSE)</f>
        <v>Dentro de la información del catálogo de mercancías se podrá especificar el numero de días antes de la caducidad para que el usuario sea informado.</v>
      </c>
      <c r="C282" s="160"/>
      <c r="D282" s="160"/>
      <c r="E282" s="160"/>
      <c r="F282" s="160"/>
      <c r="G282" t="e">
        <f t="shared" si="23"/>
        <v>#N/A</v>
      </c>
      <c r="H282" t="s">
        <v>359</v>
      </c>
      <c r="L282" t="str">
        <f t="shared" si="20"/>
        <v>Co_03_06</v>
      </c>
      <c r="M282" t="e">
        <f t="shared" si="21"/>
        <v>#N/A</v>
      </c>
      <c r="N282" t="str">
        <f t="shared" si="22"/>
        <v>Catálogo de mercancías</v>
      </c>
    </row>
    <row r="283" spans="1:14" x14ac:dyDescent="0.25">
      <c r="A283" t="s">
        <v>344</v>
      </c>
      <c r="B283" s="160" t="e">
        <f>VLOOKUP(A283,RN_BN!$A$3:$D$193,2,FALSE)</f>
        <v>#N/A</v>
      </c>
      <c r="C283" s="160"/>
      <c r="D283" s="160"/>
      <c r="E283" s="160"/>
      <c r="F283" s="160"/>
      <c r="G283" t="e">
        <f t="shared" si="23"/>
        <v>#N/A</v>
      </c>
      <c r="H283" t="s">
        <v>359</v>
      </c>
      <c r="L283" t="str">
        <f t="shared" si="20"/>
        <v>Co_03_08</v>
      </c>
      <c r="M283" t="e">
        <f t="shared" si="21"/>
        <v>#N/A</v>
      </c>
      <c r="N283" t="str">
        <f t="shared" si="22"/>
        <v>Catálogo de mercancías</v>
      </c>
    </row>
    <row r="284" spans="1:14" x14ac:dyDescent="0.25">
      <c r="B284" s="160"/>
      <c r="C284" s="160"/>
      <c r="D284" s="160"/>
      <c r="E284" s="160"/>
      <c r="F284" s="160"/>
      <c r="G284" s="66"/>
      <c r="H284" s="66"/>
      <c r="L284" t="e">
        <f t="shared" si="20"/>
        <v>#N/A</v>
      </c>
      <c r="M284">
        <f t="shared" si="21"/>
        <v>0</v>
      </c>
      <c r="N284">
        <f t="shared" si="22"/>
        <v>0</v>
      </c>
    </row>
    <row r="285" spans="1:14" x14ac:dyDescent="0.25">
      <c r="L285" t="e">
        <f t="shared" si="20"/>
        <v>#N/A</v>
      </c>
      <c r="M285">
        <f t="shared" si="21"/>
        <v>0</v>
      </c>
      <c r="N285">
        <f t="shared" si="22"/>
        <v>0</v>
      </c>
    </row>
    <row r="286" spans="1:14" x14ac:dyDescent="0.25">
      <c r="A286" s="157" t="s">
        <v>143</v>
      </c>
      <c r="B286" s="157"/>
      <c r="C286" s="157" t="s">
        <v>18</v>
      </c>
      <c r="D286" s="157"/>
      <c r="E286" s="157"/>
      <c r="F286" s="157"/>
      <c r="G286" s="63"/>
      <c r="H286" s="63"/>
      <c r="L286" t="e">
        <f t="shared" si="20"/>
        <v>#N/A</v>
      </c>
      <c r="M286">
        <f t="shared" si="21"/>
        <v>0</v>
      </c>
      <c r="N286">
        <f t="shared" si="22"/>
        <v>0</v>
      </c>
    </row>
    <row r="287" spans="1:14" x14ac:dyDescent="0.25">
      <c r="A287" s="62" t="s">
        <v>15</v>
      </c>
      <c r="B287" s="62" t="s">
        <v>16</v>
      </c>
      <c r="C287" s="62" t="s">
        <v>15</v>
      </c>
      <c r="D287" s="62" t="s">
        <v>14</v>
      </c>
      <c r="E287" s="62" t="s">
        <v>8</v>
      </c>
      <c r="F287" s="62" t="s">
        <v>142</v>
      </c>
      <c r="G287" s="62"/>
      <c r="H287" s="62"/>
      <c r="L287" t="e">
        <f t="shared" si="20"/>
        <v>#N/A</v>
      </c>
      <c r="M287">
        <f t="shared" si="21"/>
        <v>0</v>
      </c>
      <c r="N287">
        <f t="shared" si="22"/>
        <v>0</v>
      </c>
    </row>
    <row r="288" spans="1:14" x14ac:dyDescent="0.25">
      <c r="A288" t="e">
        <f>CONCATENATE("UI","_",F288,"_",C288)</f>
        <v>#N/A</v>
      </c>
      <c r="B288" t="s">
        <v>359</v>
      </c>
      <c r="C288" t="e">
        <f>VLOOKUP(A278,RN_BN!$A$3:$D$193,3,FALSE)</f>
        <v>#N/A</v>
      </c>
      <c r="D288" t="e">
        <f>VLOOKUP(A278,RN_BN!$A$3:$D$193,4,FALSE)</f>
        <v>#N/A</v>
      </c>
      <c r="E288" t="e">
        <f>VLOOKUP(C288,RN_BN!$C$3:$F$193,4,FALSE)</f>
        <v>#N/A</v>
      </c>
      <c r="F288" s="22" t="s">
        <v>49</v>
      </c>
      <c r="G288" s="22"/>
      <c r="H288" s="22"/>
      <c r="L288" t="e">
        <f t="shared" si="20"/>
        <v>#N/A</v>
      </c>
      <c r="M288">
        <f t="shared" si="21"/>
        <v>0</v>
      </c>
      <c r="N288">
        <f t="shared" si="22"/>
        <v>0</v>
      </c>
    </row>
    <row r="289" spans="1:14" x14ac:dyDescent="0.25">
      <c r="L289" t="e">
        <f t="shared" si="20"/>
        <v>#N/A</v>
      </c>
      <c r="M289">
        <f t="shared" si="21"/>
        <v>0</v>
      </c>
      <c r="N289">
        <f t="shared" si="22"/>
        <v>0</v>
      </c>
    </row>
    <row r="290" spans="1:14" x14ac:dyDescent="0.25">
      <c r="A290" s="62" t="s">
        <v>162</v>
      </c>
      <c r="B290" s="158" t="s">
        <v>16</v>
      </c>
      <c r="C290" s="158"/>
      <c r="D290" s="158"/>
      <c r="E290" s="158"/>
      <c r="F290" s="158"/>
      <c r="G290" s="68"/>
      <c r="H290" s="68"/>
      <c r="L290" t="e">
        <f t="shared" si="20"/>
        <v>#N/A</v>
      </c>
      <c r="M290">
        <f t="shared" si="21"/>
        <v>0</v>
      </c>
      <c r="N290">
        <f t="shared" si="22"/>
        <v>0</v>
      </c>
    </row>
    <row r="291" spans="1:14" x14ac:dyDescent="0.25">
      <c r="A291" s="24" t="s">
        <v>410</v>
      </c>
      <c r="B291" s="156" t="s">
        <v>411</v>
      </c>
      <c r="C291" s="156"/>
      <c r="D291" s="156"/>
      <c r="E291" s="156"/>
      <c r="F291" s="156"/>
      <c r="G291" s="67"/>
      <c r="H291" s="67"/>
      <c r="L291" t="e">
        <f t="shared" si="20"/>
        <v>#N/A</v>
      </c>
      <c r="M291">
        <f t="shared" si="21"/>
        <v>0</v>
      </c>
      <c r="N291">
        <f t="shared" si="22"/>
        <v>0</v>
      </c>
    </row>
    <row r="292" spans="1:14" x14ac:dyDescent="0.25">
      <c r="A292" s="24" t="s">
        <v>14</v>
      </c>
      <c r="B292" s="156" t="s">
        <v>243</v>
      </c>
      <c r="C292" s="156"/>
      <c r="D292" s="156"/>
      <c r="E292" s="156"/>
      <c r="F292" s="156"/>
      <c r="G292" s="67"/>
      <c r="H292" s="67"/>
      <c r="L292" t="e">
        <f t="shared" si="20"/>
        <v>#N/A</v>
      </c>
      <c r="M292">
        <f t="shared" si="21"/>
        <v>0</v>
      </c>
      <c r="N292">
        <f t="shared" si="22"/>
        <v>0</v>
      </c>
    </row>
    <row r="293" spans="1:14" x14ac:dyDescent="0.25">
      <c r="A293" s="24" t="s">
        <v>233</v>
      </c>
      <c r="B293" s="156" t="s">
        <v>244</v>
      </c>
      <c r="C293" s="156"/>
      <c r="D293" s="156"/>
      <c r="E293" s="156"/>
      <c r="F293" s="156"/>
      <c r="G293" s="67"/>
      <c r="H293" s="67"/>
      <c r="L293" t="e">
        <f t="shared" si="20"/>
        <v>#N/A</v>
      </c>
      <c r="M293">
        <f t="shared" si="21"/>
        <v>0</v>
      </c>
      <c r="N293">
        <f t="shared" si="22"/>
        <v>0</v>
      </c>
    </row>
    <row r="294" spans="1:14" x14ac:dyDescent="0.25">
      <c r="A294" s="24" t="s">
        <v>234</v>
      </c>
      <c r="B294" s="156" t="s">
        <v>245</v>
      </c>
      <c r="C294" s="156"/>
      <c r="D294" s="156"/>
      <c r="E294" s="156"/>
      <c r="F294" s="156"/>
      <c r="G294" s="67"/>
      <c r="H294" s="67"/>
      <c r="L294" t="e">
        <f t="shared" si="20"/>
        <v>#N/A</v>
      </c>
      <c r="M294">
        <f t="shared" si="21"/>
        <v>0</v>
      </c>
      <c r="N294">
        <f t="shared" si="22"/>
        <v>0</v>
      </c>
    </row>
    <row r="295" spans="1:14" x14ac:dyDescent="0.25">
      <c r="A295" s="24" t="s">
        <v>235</v>
      </c>
      <c r="B295" s="156" t="s">
        <v>246</v>
      </c>
      <c r="C295" s="156"/>
      <c r="D295" s="156"/>
      <c r="E295" s="156"/>
      <c r="F295" s="156"/>
      <c r="G295" s="67"/>
      <c r="H295" s="67"/>
      <c r="L295" t="e">
        <f t="shared" si="20"/>
        <v>#N/A</v>
      </c>
      <c r="M295">
        <f t="shared" si="21"/>
        <v>0</v>
      </c>
      <c r="N295">
        <f t="shared" si="22"/>
        <v>0</v>
      </c>
    </row>
    <row r="296" spans="1:14" x14ac:dyDescent="0.25">
      <c r="A296" s="24" t="s">
        <v>236</v>
      </c>
      <c r="B296" s="156" t="s">
        <v>247</v>
      </c>
      <c r="C296" s="156"/>
      <c r="D296" s="156"/>
      <c r="E296" s="156"/>
      <c r="F296" s="156"/>
      <c r="G296" s="67"/>
      <c r="H296" s="67"/>
      <c r="L296" t="e">
        <f t="shared" si="20"/>
        <v>#N/A</v>
      </c>
      <c r="M296">
        <f t="shared" si="21"/>
        <v>0</v>
      </c>
      <c r="N296">
        <f t="shared" si="22"/>
        <v>0</v>
      </c>
    </row>
    <row r="297" spans="1:14" x14ac:dyDescent="0.25">
      <c r="A297" s="24" t="s">
        <v>237</v>
      </c>
      <c r="B297" s="156" t="s">
        <v>249</v>
      </c>
      <c r="C297" s="156"/>
      <c r="D297" s="156"/>
      <c r="E297" s="156"/>
      <c r="F297" s="156"/>
      <c r="G297" s="67"/>
      <c r="H297" s="67"/>
      <c r="L297" t="e">
        <f t="shared" si="20"/>
        <v>#N/A</v>
      </c>
      <c r="M297">
        <f t="shared" si="21"/>
        <v>0</v>
      </c>
      <c r="N297">
        <f t="shared" si="22"/>
        <v>0</v>
      </c>
    </row>
    <row r="298" spans="1:14" x14ac:dyDescent="0.25">
      <c r="A298" s="24" t="s">
        <v>367</v>
      </c>
      <c r="B298" s="156" t="s">
        <v>248</v>
      </c>
      <c r="C298" s="156"/>
      <c r="D298" s="156"/>
      <c r="E298" s="156"/>
      <c r="F298" s="156"/>
      <c r="G298" s="67"/>
      <c r="H298" s="67"/>
      <c r="L298" t="e">
        <f t="shared" si="20"/>
        <v>#N/A</v>
      </c>
      <c r="M298">
        <f t="shared" si="21"/>
        <v>0</v>
      </c>
      <c r="N298">
        <f t="shared" si="22"/>
        <v>0</v>
      </c>
    </row>
    <row r="299" spans="1:14" x14ac:dyDescent="0.25">
      <c r="A299" s="24" t="s">
        <v>342</v>
      </c>
      <c r="B299" s="156" t="s">
        <v>343</v>
      </c>
      <c r="C299" s="156"/>
      <c r="D299" s="156"/>
      <c r="E299" s="156"/>
      <c r="F299" s="156"/>
      <c r="G299" s="67"/>
      <c r="H299" s="67"/>
      <c r="L299" t="e">
        <f t="shared" si="20"/>
        <v>#N/A</v>
      </c>
      <c r="M299">
        <f t="shared" si="21"/>
        <v>0</v>
      </c>
      <c r="N299">
        <f t="shared" si="22"/>
        <v>0</v>
      </c>
    </row>
    <row r="300" spans="1:14" x14ac:dyDescent="0.25">
      <c r="A300" s="24" t="s">
        <v>238</v>
      </c>
      <c r="B300" s="156" t="s">
        <v>250</v>
      </c>
      <c r="C300" s="156"/>
      <c r="D300" s="156"/>
      <c r="E300" s="156"/>
      <c r="F300" s="156"/>
      <c r="G300" s="67"/>
      <c r="H300" s="67"/>
      <c r="L300" t="e">
        <f t="shared" si="20"/>
        <v>#N/A</v>
      </c>
      <c r="M300">
        <f t="shared" si="21"/>
        <v>0</v>
      </c>
      <c r="N300">
        <f t="shared" si="22"/>
        <v>0</v>
      </c>
    </row>
    <row r="301" spans="1:14" x14ac:dyDescent="0.25">
      <c r="L301" t="e">
        <f t="shared" si="20"/>
        <v>#N/A</v>
      </c>
      <c r="M301">
        <f t="shared" si="21"/>
        <v>0</v>
      </c>
      <c r="N301">
        <f t="shared" si="22"/>
        <v>0</v>
      </c>
    </row>
    <row r="302" spans="1:14" x14ac:dyDescent="0.25">
      <c r="A302" s="62" t="s">
        <v>163</v>
      </c>
      <c r="B302" s="158" t="s">
        <v>16</v>
      </c>
      <c r="C302" s="158"/>
      <c r="D302" s="158"/>
      <c r="E302" s="158"/>
      <c r="F302" s="158"/>
      <c r="G302" s="68"/>
      <c r="H302" s="68"/>
      <c r="L302" t="e">
        <f t="shared" si="20"/>
        <v>#N/A</v>
      </c>
      <c r="M302">
        <f t="shared" si="21"/>
        <v>0</v>
      </c>
      <c r="N302">
        <f t="shared" si="22"/>
        <v>0</v>
      </c>
    </row>
    <row r="303" spans="1:14" x14ac:dyDescent="0.25">
      <c r="A303" s="24" t="s">
        <v>360</v>
      </c>
      <c r="B303" s="161" t="s">
        <v>363</v>
      </c>
      <c r="C303" s="161"/>
      <c r="D303" s="161"/>
      <c r="E303" s="161"/>
      <c r="F303" s="161"/>
      <c r="G303" s="69"/>
      <c r="H303" s="69"/>
      <c r="L303" t="e">
        <f t="shared" si="20"/>
        <v>#N/A</v>
      </c>
      <c r="M303">
        <f t="shared" si="21"/>
        <v>0</v>
      </c>
      <c r="N303">
        <f t="shared" si="22"/>
        <v>0</v>
      </c>
    </row>
    <row r="304" spans="1:14" x14ac:dyDescent="0.25">
      <c r="A304" s="24" t="s">
        <v>361</v>
      </c>
      <c r="B304" s="161" t="s">
        <v>364</v>
      </c>
      <c r="C304" s="161"/>
      <c r="D304" s="161"/>
      <c r="E304" s="161"/>
      <c r="F304" s="161"/>
      <c r="G304" s="69"/>
      <c r="H304" s="69"/>
      <c r="L304" t="e">
        <f t="shared" si="20"/>
        <v>#N/A</v>
      </c>
      <c r="M304">
        <f t="shared" si="21"/>
        <v>0</v>
      </c>
      <c r="N304">
        <f t="shared" si="22"/>
        <v>0</v>
      </c>
    </row>
    <row r="305" spans="1:14" x14ac:dyDescent="0.25">
      <c r="A305" s="24" t="s">
        <v>362</v>
      </c>
      <c r="B305" s="161" t="s">
        <v>365</v>
      </c>
      <c r="C305" s="161"/>
      <c r="D305" s="161"/>
      <c r="E305" s="161"/>
      <c r="F305" s="161"/>
      <c r="G305" s="69"/>
      <c r="H305" s="69"/>
      <c r="L305" t="e">
        <f t="shared" si="20"/>
        <v>#N/A</v>
      </c>
      <c r="M305">
        <f t="shared" si="21"/>
        <v>0</v>
      </c>
      <c r="N305">
        <f t="shared" si="22"/>
        <v>0</v>
      </c>
    </row>
    <row r="306" spans="1:14" x14ac:dyDescent="0.25">
      <c r="A306" s="24" t="s">
        <v>608</v>
      </c>
      <c r="B306" s="161" t="s">
        <v>609</v>
      </c>
      <c r="C306" s="161"/>
      <c r="D306" s="161"/>
      <c r="E306" s="161"/>
      <c r="F306" s="161"/>
      <c r="G306" s="69"/>
      <c r="H306" s="69"/>
      <c r="L306" t="e">
        <f t="shared" si="20"/>
        <v>#N/A</v>
      </c>
      <c r="M306">
        <f t="shared" si="21"/>
        <v>0</v>
      </c>
      <c r="N306">
        <f t="shared" si="22"/>
        <v>0</v>
      </c>
    </row>
    <row r="307" spans="1:14" x14ac:dyDescent="0.25">
      <c r="L307" t="e">
        <f t="shared" si="20"/>
        <v>#N/A</v>
      </c>
      <c r="M307">
        <f t="shared" si="21"/>
        <v>0</v>
      </c>
      <c r="N307">
        <f t="shared" si="22"/>
        <v>0</v>
      </c>
    </row>
    <row r="308" spans="1:14" x14ac:dyDescent="0.25">
      <c r="L308" t="e">
        <f t="shared" si="20"/>
        <v>#N/A</v>
      </c>
      <c r="M308">
        <f t="shared" si="21"/>
        <v>0</v>
      </c>
      <c r="N308">
        <f t="shared" si="22"/>
        <v>0</v>
      </c>
    </row>
    <row r="309" spans="1:14" x14ac:dyDescent="0.25">
      <c r="A309" s="159" t="s">
        <v>19</v>
      </c>
      <c r="B309" s="159"/>
      <c r="C309" s="159"/>
      <c r="D309" s="159"/>
      <c r="E309" s="159"/>
      <c r="F309" s="159"/>
      <c r="G309" s="65"/>
      <c r="H309" s="65"/>
      <c r="L309" t="e">
        <f t="shared" si="20"/>
        <v>#N/A</v>
      </c>
      <c r="M309">
        <f t="shared" si="21"/>
        <v>0</v>
      </c>
      <c r="N309">
        <f t="shared" si="22"/>
        <v>0</v>
      </c>
    </row>
    <row r="310" spans="1:14" x14ac:dyDescent="0.25">
      <c r="A310" s="62" t="s">
        <v>15</v>
      </c>
      <c r="B310" s="157" t="s">
        <v>14</v>
      </c>
      <c r="C310" s="157"/>
      <c r="D310" s="157"/>
      <c r="E310" s="157"/>
      <c r="F310" s="157"/>
      <c r="G310" s="62" t="s">
        <v>15</v>
      </c>
      <c r="H310" s="62" t="s">
        <v>16</v>
      </c>
      <c r="L310" t="e">
        <f t="shared" si="20"/>
        <v>#N/A</v>
      </c>
      <c r="M310">
        <f t="shared" si="21"/>
        <v>0</v>
      </c>
      <c r="N310">
        <f t="shared" si="22"/>
        <v>0</v>
      </c>
    </row>
    <row r="311" spans="1:14" x14ac:dyDescent="0.25">
      <c r="A311" t="s">
        <v>140</v>
      </c>
      <c r="B311" s="160" t="e">
        <f>VLOOKUP(A311,RN_BN!$A$3:$D$193,2,FALSE)</f>
        <v>#N/A</v>
      </c>
      <c r="C311" s="160"/>
      <c r="D311" s="160"/>
      <c r="E311" s="160"/>
      <c r="F311" s="160"/>
      <c r="G311" t="e">
        <f>$A$317</f>
        <v>#N/A</v>
      </c>
      <c r="H311" t="s">
        <v>370</v>
      </c>
      <c r="L311" t="str">
        <f t="shared" si="20"/>
        <v>Al_02_01</v>
      </c>
      <c r="M311" t="e">
        <f t="shared" si="21"/>
        <v>#N/A</v>
      </c>
      <c r="N311" t="str">
        <f t="shared" si="22"/>
        <v>Consulta de Inventarios</v>
      </c>
    </row>
    <row r="312" spans="1:14" x14ac:dyDescent="0.25">
      <c r="A312" t="s">
        <v>399</v>
      </c>
      <c r="B312" s="160" t="e">
        <f>VLOOKUP(A312,RN_BN!$A$3:$D$193,2,FALSE)</f>
        <v>#N/A</v>
      </c>
      <c r="C312" s="160"/>
      <c r="D312" s="160"/>
      <c r="E312" s="160"/>
      <c r="F312" s="160"/>
      <c r="G312" t="e">
        <f>$A$317</f>
        <v>#N/A</v>
      </c>
      <c r="H312" t="s">
        <v>370</v>
      </c>
      <c r="L312" t="str">
        <f t="shared" si="20"/>
        <v>Al_03_01</v>
      </c>
      <c r="M312" t="e">
        <f t="shared" si="21"/>
        <v>#N/A</v>
      </c>
      <c r="N312" t="str">
        <f t="shared" si="22"/>
        <v>Consulta de Inventarios</v>
      </c>
    </row>
    <row r="313" spans="1:14" x14ac:dyDescent="0.25">
      <c r="A313" t="s">
        <v>400</v>
      </c>
      <c r="B313" s="160" t="e">
        <f>VLOOKUP(A313,RN_BN!$A$3:$D$193,2,FALSE)</f>
        <v>#N/A</v>
      </c>
      <c r="C313" s="160"/>
      <c r="D313" s="160"/>
      <c r="E313" s="160"/>
      <c r="F313" s="160"/>
      <c r="G313" t="e">
        <f>$A$317</f>
        <v>#N/A</v>
      </c>
      <c r="H313" t="s">
        <v>370</v>
      </c>
      <c r="L313" t="str">
        <f t="shared" si="20"/>
        <v>Al_01_04</v>
      </c>
      <c r="M313" t="e">
        <f t="shared" si="21"/>
        <v>#N/A</v>
      </c>
      <c r="N313" t="str">
        <f t="shared" si="22"/>
        <v>Consulta de Inventarios</v>
      </c>
    </row>
    <row r="314" spans="1:14" x14ac:dyDescent="0.25">
      <c r="L314" t="e">
        <f t="shared" si="20"/>
        <v>#N/A</v>
      </c>
      <c r="M314">
        <f t="shared" si="21"/>
        <v>0</v>
      </c>
      <c r="N314">
        <f t="shared" si="22"/>
        <v>0</v>
      </c>
    </row>
    <row r="315" spans="1:14" x14ac:dyDescent="0.25">
      <c r="A315" s="157" t="s">
        <v>143</v>
      </c>
      <c r="B315" s="157"/>
      <c r="C315" s="157" t="s">
        <v>18</v>
      </c>
      <c r="D315" s="157"/>
      <c r="E315" s="157"/>
      <c r="F315" s="157"/>
      <c r="G315" s="63"/>
      <c r="H315" s="63"/>
      <c r="L315" t="e">
        <f t="shared" si="20"/>
        <v>#N/A</v>
      </c>
      <c r="M315">
        <f t="shared" si="21"/>
        <v>0</v>
      </c>
      <c r="N315">
        <f t="shared" si="22"/>
        <v>0</v>
      </c>
    </row>
    <row r="316" spans="1:14" x14ac:dyDescent="0.25">
      <c r="A316" s="62" t="s">
        <v>15</v>
      </c>
      <c r="B316" s="62" t="s">
        <v>16</v>
      </c>
      <c r="C316" s="62" t="s">
        <v>15</v>
      </c>
      <c r="D316" s="62" t="s">
        <v>14</v>
      </c>
      <c r="E316" s="62" t="s">
        <v>8</v>
      </c>
      <c r="F316" s="62" t="s">
        <v>142</v>
      </c>
      <c r="G316" s="62"/>
      <c r="H316" s="62"/>
      <c r="L316" t="e">
        <f t="shared" si="20"/>
        <v>#N/A</v>
      </c>
      <c r="M316">
        <f t="shared" si="21"/>
        <v>0</v>
      </c>
      <c r="N316">
        <f t="shared" si="22"/>
        <v>0</v>
      </c>
    </row>
    <row r="317" spans="1:14" x14ac:dyDescent="0.25">
      <c r="A317" t="e">
        <f>CONCATENATE("UI","_",F317,"_",C317)</f>
        <v>#N/A</v>
      </c>
      <c r="B317" t="s">
        <v>370</v>
      </c>
      <c r="C317" t="e">
        <f>VLOOKUP(A311,RN_BN!$A$3:$D$193,3,FALSE)</f>
        <v>#N/A</v>
      </c>
      <c r="D317" t="e">
        <f>VLOOKUP(A311,RN_BN!$A$3:$D$193,4,FALSE)</f>
        <v>#N/A</v>
      </c>
      <c r="E317" t="e">
        <f>VLOOKUP(C317,RN_BN!$C$3:$F$193,4,FALSE)</f>
        <v>#N/A</v>
      </c>
      <c r="F317" s="22" t="s">
        <v>47</v>
      </c>
      <c r="G317" s="22"/>
      <c r="H317" s="22"/>
      <c r="L317" t="e">
        <f t="shared" ref="L317:L380" si="24">IF(VLOOKUP(A317,$K$3:$K$82,1,FALSE)=A317,A317)</f>
        <v>#N/A</v>
      </c>
      <c r="M317">
        <f t="shared" si="21"/>
        <v>0</v>
      </c>
      <c r="N317">
        <f t="shared" si="22"/>
        <v>0</v>
      </c>
    </row>
    <row r="318" spans="1:14" x14ac:dyDescent="0.25">
      <c r="L318" t="e">
        <f t="shared" si="24"/>
        <v>#N/A</v>
      </c>
      <c r="M318">
        <f t="shared" si="21"/>
        <v>0</v>
      </c>
      <c r="N318">
        <f t="shared" si="22"/>
        <v>0</v>
      </c>
    </row>
    <row r="319" spans="1:14" x14ac:dyDescent="0.25">
      <c r="A319" s="62" t="s">
        <v>162</v>
      </c>
      <c r="B319" s="158" t="s">
        <v>16</v>
      </c>
      <c r="C319" s="158"/>
      <c r="D319" s="158"/>
      <c r="E319" s="158"/>
      <c r="F319" s="158"/>
      <c r="G319" s="68"/>
      <c r="H319" s="68"/>
      <c r="L319" t="e">
        <f t="shared" si="24"/>
        <v>#N/A</v>
      </c>
      <c r="M319">
        <f t="shared" si="21"/>
        <v>0</v>
      </c>
      <c r="N319">
        <f t="shared" si="22"/>
        <v>0</v>
      </c>
    </row>
    <row r="320" spans="1:14" x14ac:dyDescent="0.25">
      <c r="A320" s="24" t="s">
        <v>148</v>
      </c>
      <c r="B320" s="156" t="s">
        <v>409</v>
      </c>
      <c r="C320" s="156"/>
      <c r="D320" s="156"/>
      <c r="E320" s="156"/>
      <c r="F320" s="156"/>
      <c r="G320" s="67"/>
      <c r="H320" s="67"/>
      <c r="L320" t="e">
        <f t="shared" si="24"/>
        <v>#N/A</v>
      </c>
      <c r="M320">
        <f t="shared" si="21"/>
        <v>0</v>
      </c>
      <c r="N320">
        <f t="shared" si="22"/>
        <v>0</v>
      </c>
    </row>
    <row r="321" spans="1:14" x14ac:dyDescent="0.25">
      <c r="A321" s="24" t="s">
        <v>14</v>
      </c>
      <c r="B321" s="156" t="s">
        <v>394</v>
      </c>
      <c r="C321" s="156"/>
      <c r="D321" s="156"/>
      <c r="E321" s="156"/>
      <c r="F321" s="156"/>
      <c r="G321" s="67"/>
      <c r="H321" s="67"/>
      <c r="L321" t="e">
        <f t="shared" si="24"/>
        <v>#N/A</v>
      </c>
      <c r="M321">
        <f t="shared" si="21"/>
        <v>0</v>
      </c>
      <c r="N321">
        <f t="shared" si="22"/>
        <v>0</v>
      </c>
    </row>
    <row r="322" spans="1:14" x14ac:dyDescent="0.25">
      <c r="A322" s="24" t="s">
        <v>236</v>
      </c>
      <c r="B322" s="156" t="s">
        <v>247</v>
      </c>
      <c r="C322" s="156"/>
      <c r="D322" s="156"/>
      <c r="E322" s="156"/>
      <c r="F322" s="156"/>
      <c r="G322" s="67"/>
      <c r="H322" s="67"/>
      <c r="L322" t="e">
        <f t="shared" si="24"/>
        <v>#N/A</v>
      </c>
      <c r="M322">
        <f t="shared" si="21"/>
        <v>0</v>
      </c>
      <c r="N322">
        <f t="shared" si="22"/>
        <v>0</v>
      </c>
    </row>
    <row r="323" spans="1:14" x14ac:dyDescent="0.25">
      <c r="A323" s="24" t="s">
        <v>396</v>
      </c>
      <c r="B323" s="156" t="s">
        <v>397</v>
      </c>
      <c r="C323" s="156"/>
      <c r="D323" s="156"/>
      <c r="E323" s="156"/>
      <c r="F323" s="156"/>
      <c r="G323" s="67"/>
      <c r="H323" s="67"/>
      <c r="L323" t="e">
        <f t="shared" si="24"/>
        <v>#N/A</v>
      </c>
      <c r="M323">
        <f t="shared" ref="M323:M386" si="25">IF(ISNA(L323),,G323)</f>
        <v>0</v>
      </c>
      <c r="N323">
        <f t="shared" si="22"/>
        <v>0</v>
      </c>
    </row>
    <row r="324" spans="1:14" x14ac:dyDescent="0.25">
      <c r="A324" s="24" t="s">
        <v>371</v>
      </c>
      <c r="B324" s="156" t="s">
        <v>380</v>
      </c>
      <c r="C324" s="156"/>
      <c r="D324" s="156"/>
      <c r="E324" s="156"/>
      <c r="F324" s="156"/>
      <c r="G324" s="67"/>
      <c r="H324" s="67"/>
      <c r="L324" t="e">
        <f t="shared" si="24"/>
        <v>#N/A</v>
      </c>
      <c r="M324">
        <f t="shared" si="25"/>
        <v>0</v>
      </c>
      <c r="N324">
        <f t="shared" si="22"/>
        <v>0</v>
      </c>
    </row>
    <row r="325" spans="1:14" x14ac:dyDescent="0.25">
      <c r="A325" s="24" t="s">
        <v>372</v>
      </c>
      <c r="B325" s="156" t="s">
        <v>381</v>
      </c>
      <c r="C325" s="156"/>
      <c r="D325" s="156"/>
      <c r="E325" s="156"/>
      <c r="F325" s="156"/>
      <c r="G325" s="67"/>
      <c r="H325" s="67"/>
      <c r="L325" t="e">
        <f t="shared" si="24"/>
        <v>#N/A</v>
      </c>
      <c r="M325">
        <f t="shared" si="25"/>
        <v>0</v>
      </c>
      <c r="N325">
        <f t="shared" si="22"/>
        <v>0</v>
      </c>
    </row>
    <row r="326" spans="1:14" x14ac:dyDescent="0.25">
      <c r="A326" s="24" t="s">
        <v>237</v>
      </c>
      <c r="B326" s="156" t="s">
        <v>382</v>
      </c>
      <c r="C326" s="156"/>
      <c r="D326" s="156"/>
      <c r="E326" s="156"/>
      <c r="F326" s="156"/>
      <c r="G326" s="67"/>
      <c r="H326" s="67"/>
      <c r="L326" t="e">
        <f t="shared" si="24"/>
        <v>#N/A</v>
      </c>
      <c r="M326">
        <f t="shared" si="25"/>
        <v>0</v>
      </c>
      <c r="N326">
        <f t="shared" si="22"/>
        <v>0</v>
      </c>
    </row>
    <row r="327" spans="1:14" x14ac:dyDescent="0.25">
      <c r="A327" s="24" t="s">
        <v>373</v>
      </c>
      <c r="B327" s="156" t="s">
        <v>383</v>
      </c>
      <c r="C327" s="156"/>
      <c r="D327" s="156"/>
      <c r="E327" s="156"/>
      <c r="F327" s="156"/>
      <c r="G327" s="67"/>
      <c r="H327" s="67"/>
      <c r="L327" t="e">
        <f t="shared" si="24"/>
        <v>#N/A</v>
      </c>
      <c r="M327">
        <f t="shared" si="25"/>
        <v>0</v>
      </c>
      <c r="N327">
        <f t="shared" si="22"/>
        <v>0</v>
      </c>
    </row>
    <row r="328" spans="1:14" x14ac:dyDescent="0.25">
      <c r="A328" s="24" t="s">
        <v>331</v>
      </c>
      <c r="B328" s="156" t="s">
        <v>393</v>
      </c>
      <c r="C328" s="156"/>
      <c r="D328" s="156"/>
      <c r="E328" s="156"/>
      <c r="F328" s="156"/>
      <c r="G328" s="67"/>
      <c r="H328" s="67"/>
      <c r="L328" t="e">
        <f t="shared" si="24"/>
        <v>#N/A</v>
      </c>
      <c r="M328">
        <f t="shared" si="25"/>
        <v>0</v>
      </c>
      <c r="N328">
        <f t="shared" si="22"/>
        <v>0</v>
      </c>
    </row>
    <row r="329" spans="1:14" x14ac:dyDescent="0.25">
      <c r="A329" s="24" t="s">
        <v>342</v>
      </c>
      <c r="B329" s="156" t="s">
        <v>392</v>
      </c>
      <c r="C329" s="156"/>
      <c r="D329" s="156"/>
      <c r="E329" s="156"/>
      <c r="F329" s="156"/>
      <c r="G329" s="67"/>
      <c r="H329" s="67"/>
      <c r="L329" t="e">
        <f t="shared" si="24"/>
        <v>#N/A</v>
      </c>
      <c r="M329">
        <f t="shared" si="25"/>
        <v>0</v>
      </c>
      <c r="N329">
        <f t="shared" si="22"/>
        <v>0</v>
      </c>
    </row>
    <row r="330" spans="1:14" x14ac:dyDescent="0.25">
      <c r="A330" s="24" t="s">
        <v>374</v>
      </c>
      <c r="B330" s="156" t="s">
        <v>384</v>
      </c>
      <c r="C330" s="156"/>
      <c r="D330" s="156"/>
      <c r="E330" s="156"/>
      <c r="F330" s="156"/>
      <c r="G330" s="67"/>
      <c r="H330" s="67"/>
      <c r="L330" t="e">
        <f t="shared" si="24"/>
        <v>#N/A</v>
      </c>
      <c r="M330">
        <f t="shared" si="25"/>
        <v>0</v>
      </c>
      <c r="N330">
        <f t="shared" si="22"/>
        <v>0</v>
      </c>
    </row>
    <row r="331" spans="1:14" x14ac:dyDescent="0.25">
      <c r="A331" s="24" t="s">
        <v>375</v>
      </c>
      <c r="B331" s="156" t="s">
        <v>385</v>
      </c>
      <c r="C331" s="156"/>
      <c r="D331" s="156"/>
      <c r="E331" s="156"/>
      <c r="F331" s="156"/>
      <c r="G331" s="67"/>
      <c r="H331" s="67"/>
      <c r="L331" t="e">
        <f t="shared" si="24"/>
        <v>#N/A</v>
      </c>
      <c r="M331">
        <f t="shared" si="25"/>
        <v>0</v>
      </c>
      <c r="N331">
        <f t="shared" si="22"/>
        <v>0</v>
      </c>
    </row>
    <row r="332" spans="1:14" x14ac:dyDescent="0.25">
      <c r="A332" s="24" t="s">
        <v>396</v>
      </c>
      <c r="B332" s="156" t="s">
        <v>398</v>
      </c>
      <c r="C332" s="156"/>
      <c r="D332" s="156"/>
      <c r="E332" s="156"/>
      <c r="F332" s="156"/>
      <c r="G332" s="67"/>
      <c r="H332" s="67"/>
      <c r="L332" t="e">
        <f t="shared" si="24"/>
        <v>#N/A</v>
      </c>
      <c r="M332">
        <f t="shared" si="25"/>
        <v>0</v>
      </c>
      <c r="N332">
        <f t="shared" ref="N332:N395" si="26">IF(ISNA(L332),,H332)</f>
        <v>0</v>
      </c>
    </row>
    <row r="333" spans="1:14" x14ac:dyDescent="0.25">
      <c r="A333" s="24" t="s">
        <v>376</v>
      </c>
      <c r="B333" s="156" t="s">
        <v>386</v>
      </c>
      <c r="C333" s="156"/>
      <c r="D333" s="156"/>
      <c r="E333" s="156"/>
      <c r="F333" s="156"/>
      <c r="G333" s="67"/>
      <c r="H333" s="67"/>
      <c r="L333" t="e">
        <f t="shared" si="24"/>
        <v>#N/A</v>
      </c>
      <c r="M333">
        <f t="shared" si="25"/>
        <v>0</v>
      </c>
      <c r="N333">
        <f t="shared" si="26"/>
        <v>0</v>
      </c>
    </row>
    <row r="334" spans="1:14" x14ac:dyDescent="0.25">
      <c r="A334" s="24" t="s">
        <v>377</v>
      </c>
      <c r="B334" s="156" t="s">
        <v>387</v>
      </c>
      <c r="C334" s="156"/>
      <c r="D334" s="156"/>
      <c r="E334" s="156"/>
      <c r="F334" s="156"/>
      <c r="G334" s="67"/>
      <c r="H334" s="67"/>
      <c r="L334" t="e">
        <f t="shared" si="24"/>
        <v>#N/A</v>
      </c>
      <c r="M334">
        <f t="shared" si="25"/>
        <v>0</v>
      </c>
      <c r="N334">
        <f t="shared" si="26"/>
        <v>0</v>
      </c>
    </row>
    <row r="335" spans="1:14" x14ac:dyDescent="0.25">
      <c r="A335" s="24" t="s">
        <v>378</v>
      </c>
      <c r="B335" s="156" t="s">
        <v>388</v>
      </c>
      <c r="C335" s="156"/>
      <c r="D335" s="156"/>
      <c r="E335" s="156"/>
      <c r="F335" s="156"/>
      <c r="G335" s="67"/>
      <c r="H335" s="67"/>
      <c r="L335" t="e">
        <f t="shared" si="24"/>
        <v>#N/A</v>
      </c>
      <c r="M335">
        <f t="shared" si="25"/>
        <v>0</v>
      </c>
      <c r="N335">
        <f t="shared" si="26"/>
        <v>0</v>
      </c>
    </row>
    <row r="336" spans="1:14" x14ac:dyDescent="0.25">
      <c r="L336" t="e">
        <f t="shared" si="24"/>
        <v>#N/A</v>
      </c>
      <c r="M336">
        <f t="shared" si="25"/>
        <v>0</v>
      </c>
      <c r="N336">
        <f t="shared" si="26"/>
        <v>0</v>
      </c>
    </row>
    <row r="337" spans="1:14" x14ac:dyDescent="0.25">
      <c r="A337" s="62" t="s">
        <v>163</v>
      </c>
      <c r="B337" s="158" t="s">
        <v>16</v>
      </c>
      <c r="C337" s="158"/>
      <c r="D337" s="158"/>
      <c r="E337" s="158"/>
      <c r="F337" s="158"/>
      <c r="G337" s="68"/>
      <c r="H337" s="68"/>
      <c r="L337" t="e">
        <f t="shared" si="24"/>
        <v>#N/A</v>
      </c>
      <c r="M337">
        <f t="shared" si="25"/>
        <v>0</v>
      </c>
      <c r="N337">
        <f t="shared" si="26"/>
        <v>0</v>
      </c>
    </row>
    <row r="338" spans="1:14" x14ac:dyDescent="0.25">
      <c r="A338" s="24" t="s">
        <v>601</v>
      </c>
      <c r="B338" s="161" t="s">
        <v>391</v>
      </c>
      <c r="C338" s="161"/>
      <c r="D338" s="161"/>
      <c r="E338" s="161"/>
      <c r="F338" s="161"/>
      <c r="G338" s="69"/>
      <c r="H338" s="69"/>
      <c r="L338" t="e">
        <f t="shared" si="24"/>
        <v>#N/A</v>
      </c>
      <c r="M338">
        <f t="shared" si="25"/>
        <v>0</v>
      </c>
      <c r="N338">
        <f t="shared" si="26"/>
        <v>0</v>
      </c>
    </row>
    <row r="339" spans="1:14" x14ac:dyDescent="0.25">
      <c r="A339" s="24" t="s">
        <v>390</v>
      </c>
      <c r="B339" s="161" t="s">
        <v>395</v>
      </c>
      <c r="C339" s="161"/>
      <c r="D339" s="161"/>
      <c r="E339" s="161"/>
      <c r="F339" s="161"/>
      <c r="G339" s="69"/>
      <c r="H339" s="69"/>
      <c r="L339" t="e">
        <f t="shared" si="24"/>
        <v>#N/A</v>
      </c>
      <c r="M339">
        <f t="shared" si="25"/>
        <v>0</v>
      </c>
      <c r="N339">
        <f t="shared" si="26"/>
        <v>0</v>
      </c>
    </row>
    <row r="340" spans="1:14" x14ac:dyDescent="0.25">
      <c r="A340" s="24" t="s">
        <v>623</v>
      </c>
      <c r="B340" s="161" t="s">
        <v>624</v>
      </c>
      <c r="C340" s="161"/>
      <c r="D340" s="161"/>
      <c r="E340" s="161"/>
      <c r="F340" s="161"/>
      <c r="G340" s="69"/>
      <c r="H340" s="69"/>
      <c r="L340" t="e">
        <f t="shared" si="24"/>
        <v>#N/A</v>
      </c>
      <c r="M340">
        <f t="shared" si="25"/>
        <v>0</v>
      </c>
      <c r="N340">
        <f t="shared" si="26"/>
        <v>0</v>
      </c>
    </row>
    <row r="341" spans="1:14" x14ac:dyDescent="0.25">
      <c r="L341" t="e">
        <f t="shared" si="24"/>
        <v>#N/A</v>
      </c>
      <c r="M341">
        <f t="shared" si="25"/>
        <v>0</v>
      </c>
      <c r="N341">
        <f t="shared" si="26"/>
        <v>0</v>
      </c>
    </row>
    <row r="342" spans="1:14" x14ac:dyDescent="0.25">
      <c r="L342" t="e">
        <f t="shared" si="24"/>
        <v>#N/A</v>
      </c>
      <c r="M342">
        <f t="shared" si="25"/>
        <v>0</v>
      </c>
      <c r="N342">
        <f t="shared" si="26"/>
        <v>0</v>
      </c>
    </row>
    <row r="343" spans="1:14" x14ac:dyDescent="0.25">
      <c r="A343" s="159" t="s">
        <v>19</v>
      </c>
      <c r="B343" s="159"/>
      <c r="C343" s="159"/>
      <c r="D343" s="159"/>
      <c r="E343" s="159"/>
      <c r="F343" s="159"/>
      <c r="G343" s="65"/>
      <c r="H343" s="65"/>
      <c r="L343" t="e">
        <f t="shared" si="24"/>
        <v>#N/A</v>
      </c>
      <c r="M343">
        <f t="shared" si="25"/>
        <v>0</v>
      </c>
      <c r="N343">
        <f t="shared" si="26"/>
        <v>0</v>
      </c>
    </row>
    <row r="344" spans="1:14" x14ac:dyDescent="0.25">
      <c r="A344" s="62" t="s">
        <v>15</v>
      </c>
      <c r="B344" s="157" t="s">
        <v>14</v>
      </c>
      <c r="C344" s="157"/>
      <c r="D344" s="157"/>
      <c r="E344" s="157"/>
      <c r="F344" s="157"/>
      <c r="G344" s="62" t="s">
        <v>15</v>
      </c>
      <c r="H344" s="62" t="s">
        <v>16</v>
      </c>
      <c r="L344" t="e">
        <f t="shared" si="24"/>
        <v>#N/A</v>
      </c>
      <c r="M344">
        <f t="shared" si="25"/>
        <v>0</v>
      </c>
      <c r="N344">
        <f t="shared" si="26"/>
        <v>0</v>
      </c>
    </row>
    <row r="345" spans="1:14" x14ac:dyDescent="0.25">
      <c r="A345" t="s">
        <v>415</v>
      </c>
      <c r="B345" s="160" t="e">
        <f>VLOOKUP(A345,RN_BN!$A$3:$D$193,2,FALSE)</f>
        <v>#N/A</v>
      </c>
      <c r="C345" s="160"/>
      <c r="D345" s="160"/>
      <c r="E345" s="160"/>
      <c r="F345" s="160"/>
      <c r="G345" t="e">
        <f>$A$350</f>
        <v>#N/A</v>
      </c>
      <c r="H345" t="s">
        <v>414</v>
      </c>
      <c r="L345" t="str">
        <f t="shared" si="24"/>
        <v>Al_03_03</v>
      </c>
      <c r="M345" t="e">
        <f t="shared" si="25"/>
        <v>#N/A</v>
      </c>
      <c r="N345" t="str">
        <f t="shared" si="26"/>
        <v>Consulta de Inventarios de Platillos</v>
      </c>
    </row>
    <row r="346" spans="1:14" x14ac:dyDescent="0.25">
      <c r="A346" t="s">
        <v>450</v>
      </c>
      <c r="B346" s="160" t="e">
        <f>VLOOKUP(A346,RN_BN!$A$3:$D$193,2,FALSE)</f>
        <v>#N/A</v>
      </c>
      <c r="C346" s="160"/>
      <c r="D346" s="160"/>
      <c r="E346" s="160"/>
      <c r="F346" s="160"/>
      <c r="G346" t="e">
        <f>$A$350</f>
        <v>#N/A</v>
      </c>
      <c r="H346" t="s">
        <v>414</v>
      </c>
      <c r="L346" t="str">
        <f t="shared" si="24"/>
        <v>Pe_02_01</v>
      </c>
      <c r="M346" t="e">
        <f t="shared" si="25"/>
        <v>#N/A</v>
      </c>
      <c r="N346" t="str">
        <f t="shared" si="26"/>
        <v>Consulta de Inventarios de Platillos</v>
      </c>
    </row>
    <row r="347" spans="1:14" x14ac:dyDescent="0.25">
      <c r="L347" t="e">
        <f t="shared" si="24"/>
        <v>#N/A</v>
      </c>
      <c r="M347">
        <f t="shared" si="25"/>
        <v>0</v>
      </c>
      <c r="N347">
        <f t="shared" si="26"/>
        <v>0</v>
      </c>
    </row>
    <row r="348" spans="1:14" x14ac:dyDescent="0.25">
      <c r="A348" s="157" t="s">
        <v>143</v>
      </c>
      <c r="B348" s="157"/>
      <c r="C348" s="157" t="s">
        <v>18</v>
      </c>
      <c r="D348" s="157"/>
      <c r="E348" s="157"/>
      <c r="F348" s="157"/>
      <c r="G348" s="63"/>
      <c r="H348" s="63"/>
      <c r="L348" t="e">
        <f t="shared" si="24"/>
        <v>#N/A</v>
      </c>
      <c r="M348">
        <f t="shared" si="25"/>
        <v>0</v>
      </c>
      <c r="N348">
        <f t="shared" si="26"/>
        <v>0</v>
      </c>
    </row>
    <row r="349" spans="1:14" x14ac:dyDescent="0.25">
      <c r="A349" s="62" t="s">
        <v>15</v>
      </c>
      <c r="B349" s="62" t="s">
        <v>16</v>
      </c>
      <c r="C349" s="62" t="s">
        <v>15</v>
      </c>
      <c r="D349" s="62" t="s">
        <v>14</v>
      </c>
      <c r="E349" s="62" t="s">
        <v>8</v>
      </c>
      <c r="F349" s="62" t="s">
        <v>142</v>
      </c>
      <c r="G349" s="62"/>
      <c r="H349" s="62"/>
      <c r="L349" t="e">
        <f t="shared" si="24"/>
        <v>#N/A</v>
      </c>
      <c r="M349">
        <f t="shared" si="25"/>
        <v>0</v>
      </c>
      <c r="N349">
        <f t="shared" si="26"/>
        <v>0</v>
      </c>
    </row>
    <row r="350" spans="1:14" x14ac:dyDescent="0.25">
      <c r="A350" t="e">
        <f>CONCATENATE("UI","_",F350,"_",C350)</f>
        <v>#N/A</v>
      </c>
      <c r="B350" t="s">
        <v>414</v>
      </c>
      <c r="C350" t="e">
        <f>VLOOKUP(A345,RN_BN!$A$3:$D$193,3,FALSE)</f>
        <v>#N/A</v>
      </c>
      <c r="D350" t="e">
        <f>VLOOKUP(A345,RN_BN!$A$3:$D$193,4,FALSE)</f>
        <v>#N/A</v>
      </c>
      <c r="E350" t="e">
        <f>VLOOKUP(C350,RN_BN!$C$3:$F$193,4,FALSE)</f>
        <v>#N/A</v>
      </c>
      <c r="F350" s="22" t="s">
        <v>47</v>
      </c>
      <c r="G350" s="22"/>
      <c r="H350" s="22"/>
      <c r="L350" t="e">
        <f t="shared" si="24"/>
        <v>#N/A</v>
      </c>
      <c r="M350">
        <f t="shared" si="25"/>
        <v>0</v>
      </c>
      <c r="N350">
        <f t="shared" si="26"/>
        <v>0</v>
      </c>
    </row>
    <row r="351" spans="1:14" x14ac:dyDescent="0.25">
      <c r="L351" t="e">
        <f t="shared" si="24"/>
        <v>#N/A</v>
      </c>
      <c r="M351">
        <f t="shared" si="25"/>
        <v>0</v>
      </c>
      <c r="N351">
        <f t="shared" si="26"/>
        <v>0</v>
      </c>
    </row>
    <row r="352" spans="1:14" x14ac:dyDescent="0.25">
      <c r="A352" s="62" t="s">
        <v>162</v>
      </c>
      <c r="B352" s="158" t="s">
        <v>16</v>
      </c>
      <c r="C352" s="158"/>
      <c r="D352" s="158"/>
      <c r="E352" s="158"/>
      <c r="F352" s="158"/>
      <c r="G352" s="68"/>
      <c r="H352" s="68"/>
      <c r="L352" t="e">
        <f t="shared" si="24"/>
        <v>#N/A</v>
      </c>
      <c r="M352">
        <f t="shared" si="25"/>
        <v>0</v>
      </c>
      <c r="N352">
        <f t="shared" si="26"/>
        <v>0</v>
      </c>
    </row>
    <row r="353" spans="1:14" x14ac:dyDescent="0.25">
      <c r="A353" s="24" t="s">
        <v>148</v>
      </c>
      <c r="B353" s="156" t="s">
        <v>413</v>
      </c>
      <c r="C353" s="156"/>
      <c r="D353" s="156"/>
      <c r="E353" s="156"/>
      <c r="F353" s="156"/>
      <c r="G353" s="67"/>
      <c r="H353" s="67"/>
      <c r="L353" t="e">
        <f t="shared" si="24"/>
        <v>#N/A</v>
      </c>
      <c r="M353">
        <f t="shared" si="25"/>
        <v>0</v>
      </c>
      <c r="N353">
        <f t="shared" si="26"/>
        <v>0</v>
      </c>
    </row>
    <row r="354" spans="1:14" x14ac:dyDescent="0.25">
      <c r="A354" s="24" t="s">
        <v>14</v>
      </c>
      <c r="B354" s="156" t="s">
        <v>403</v>
      </c>
      <c r="C354" s="156"/>
      <c r="D354" s="156"/>
      <c r="E354" s="156"/>
      <c r="F354" s="156"/>
      <c r="G354" s="67"/>
      <c r="H354" s="67"/>
      <c r="L354" t="e">
        <f t="shared" si="24"/>
        <v>#N/A</v>
      </c>
      <c r="M354">
        <f t="shared" si="25"/>
        <v>0</v>
      </c>
      <c r="N354">
        <f t="shared" si="26"/>
        <v>0</v>
      </c>
    </row>
    <row r="355" spans="1:14" x14ac:dyDescent="0.25">
      <c r="A355" s="24" t="s">
        <v>396</v>
      </c>
      <c r="B355" s="156" t="s">
        <v>404</v>
      </c>
      <c r="C355" s="156"/>
      <c r="D355" s="156"/>
      <c r="E355" s="156"/>
      <c r="F355" s="156"/>
      <c r="G355" s="67"/>
      <c r="H355" s="67"/>
      <c r="L355" t="e">
        <f t="shared" si="24"/>
        <v>#N/A</v>
      </c>
      <c r="M355">
        <f t="shared" si="25"/>
        <v>0</v>
      </c>
      <c r="N355">
        <f t="shared" si="26"/>
        <v>0</v>
      </c>
    </row>
    <row r="356" spans="1:14" x14ac:dyDescent="0.25">
      <c r="A356" s="24" t="s">
        <v>401</v>
      </c>
      <c r="B356" s="156" t="s">
        <v>405</v>
      </c>
      <c r="C356" s="156"/>
      <c r="D356" s="156"/>
      <c r="E356" s="156"/>
      <c r="F356" s="156"/>
      <c r="G356" s="67"/>
      <c r="H356" s="67"/>
      <c r="L356" t="e">
        <f t="shared" si="24"/>
        <v>#N/A</v>
      </c>
      <c r="M356">
        <f t="shared" si="25"/>
        <v>0</v>
      </c>
      <c r="N356">
        <f t="shared" si="26"/>
        <v>0</v>
      </c>
    </row>
    <row r="357" spans="1:14" x14ac:dyDescent="0.25">
      <c r="A357" s="24" t="s">
        <v>402</v>
      </c>
      <c r="B357" s="156" t="s">
        <v>406</v>
      </c>
      <c r="C357" s="156"/>
      <c r="D357" s="156"/>
      <c r="E357" s="156"/>
      <c r="F357" s="156"/>
      <c r="G357" s="67"/>
      <c r="H357" s="67"/>
      <c r="L357" t="e">
        <f t="shared" si="24"/>
        <v>#N/A</v>
      </c>
      <c r="M357">
        <f t="shared" si="25"/>
        <v>0</v>
      </c>
      <c r="N357">
        <f t="shared" si="26"/>
        <v>0</v>
      </c>
    </row>
    <row r="358" spans="1:14" x14ac:dyDescent="0.25">
      <c r="A358" s="24" t="s">
        <v>148</v>
      </c>
      <c r="B358" s="156" t="s">
        <v>412</v>
      </c>
      <c r="C358" s="156"/>
      <c r="D358" s="156"/>
      <c r="E358" s="156"/>
      <c r="F358" s="156"/>
      <c r="G358" s="67"/>
      <c r="H358" s="67"/>
      <c r="L358" t="e">
        <f t="shared" si="24"/>
        <v>#N/A</v>
      </c>
      <c r="M358">
        <f t="shared" si="25"/>
        <v>0</v>
      </c>
      <c r="N358">
        <f t="shared" si="26"/>
        <v>0</v>
      </c>
    </row>
    <row r="359" spans="1:14" x14ac:dyDescent="0.25">
      <c r="A359" s="24" t="s">
        <v>14</v>
      </c>
      <c r="B359" s="156" t="s">
        <v>379</v>
      </c>
      <c r="C359" s="156"/>
      <c r="D359" s="156"/>
      <c r="E359" s="156"/>
      <c r="F359" s="156"/>
      <c r="G359" s="67"/>
      <c r="H359" s="67"/>
      <c r="L359" t="e">
        <f t="shared" si="24"/>
        <v>#N/A</v>
      </c>
      <c r="M359">
        <f t="shared" si="25"/>
        <v>0</v>
      </c>
      <c r="N359">
        <f t="shared" si="26"/>
        <v>0</v>
      </c>
    </row>
    <row r="360" spans="1:14" x14ac:dyDescent="0.25">
      <c r="A360" s="24" t="s">
        <v>236</v>
      </c>
      <c r="B360" s="156" t="s">
        <v>247</v>
      </c>
      <c r="C360" s="156"/>
      <c r="D360" s="156"/>
      <c r="E360" s="156"/>
      <c r="F360" s="156"/>
      <c r="G360" s="67"/>
      <c r="H360" s="67"/>
      <c r="L360" t="e">
        <f t="shared" si="24"/>
        <v>#N/A</v>
      </c>
      <c r="M360">
        <f t="shared" si="25"/>
        <v>0</v>
      </c>
      <c r="N360">
        <f t="shared" si="26"/>
        <v>0</v>
      </c>
    </row>
    <row r="361" spans="1:14" x14ac:dyDescent="0.25">
      <c r="A361" s="24" t="s">
        <v>396</v>
      </c>
      <c r="B361" s="156" t="s">
        <v>397</v>
      </c>
      <c r="C361" s="156"/>
      <c r="D361" s="156"/>
      <c r="E361" s="156"/>
      <c r="F361" s="156"/>
      <c r="G361" s="67"/>
      <c r="H361" s="67"/>
      <c r="L361" t="e">
        <f t="shared" si="24"/>
        <v>#N/A</v>
      </c>
      <c r="M361">
        <f t="shared" si="25"/>
        <v>0</v>
      </c>
      <c r="N361">
        <f t="shared" si="26"/>
        <v>0</v>
      </c>
    </row>
    <row r="362" spans="1:14" x14ac:dyDescent="0.25">
      <c r="A362" s="24" t="s">
        <v>448</v>
      </c>
      <c r="B362" s="156" t="s">
        <v>397</v>
      </c>
      <c r="C362" s="156"/>
      <c r="D362" s="156"/>
      <c r="E362" s="156"/>
      <c r="F362" s="156"/>
      <c r="G362" s="67"/>
      <c r="H362" s="67"/>
      <c r="L362" t="e">
        <f t="shared" si="24"/>
        <v>#N/A</v>
      </c>
      <c r="M362">
        <f t="shared" si="25"/>
        <v>0</v>
      </c>
      <c r="N362">
        <f t="shared" si="26"/>
        <v>0</v>
      </c>
    </row>
    <row r="363" spans="1:14" x14ac:dyDescent="0.25">
      <c r="A363" s="24" t="s">
        <v>371</v>
      </c>
      <c r="B363" s="156" t="s">
        <v>380</v>
      </c>
      <c r="C363" s="156"/>
      <c r="D363" s="156"/>
      <c r="E363" s="156"/>
      <c r="F363" s="156"/>
      <c r="G363" s="67"/>
      <c r="H363" s="67"/>
      <c r="L363" t="e">
        <f t="shared" si="24"/>
        <v>#N/A</v>
      </c>
      <c r="M363">
        <f t="shared" si="25"/>
        <v>0</v>
      </c>
      <c r="N363">
        <f t="shared" si="26"/>
        <v>0</v>
      </c>
    </row>
    <row r="364" spans="1:14" x14ac:dyDescent="0.25">
      <c r="A364" s="24" t="s">
        <v>372</v>
      </c>
      <c r="B364" s="156" t="s">
        <v>381</v>
      </c>
      <c r="C364" s="156"/>
      <c r="D364" s="156"/>
      <c r="E364" s="156"/>
      <c r="F364" s="156"/>
      <c r="G364" s="67"/>
      <c r="H364" s="67"/>
      <c r="L364" t="e">
        <f t="shared" si="24"/>
        <v>#N/A</v>
      </c>
      <c r="M364">
        <f t="shared" si="25"/>
        <v>0</v>
      </c>
      <c r="N364">
        <f t="shared" si="26"/>
        <v>0</v>
      </c>
    </row>
    <row r="365" spans="1:14" x14ac:dyDescent="0.25">
      <c r="A365" s="24" t="s">
        <v>237</v>
      </c>
      <c r="B365" s="156" t="s">
        <v>382</v>
      </c>
      <c r="C365" s="156"/>
      <c r="D365" s="156"/>
      <c r="E365" s="156"/>
      <c r="F365" s="156"/>
      <c r="G365" s="67"/>
      <c r="H365" s="67"/>
      <c r="L365" t="e">
        <f t="shared" si="24"/>
        <v>#N/A</v>
      </c>
      <c r="M365">
        <f t="shared" si="25"/>
        <v>0</v>
      </c>
      <c r="N365">
        <f t="shared" si="26"/>
        <v>0</v>
      </c>
    </row>
    <row r="366" spans="1:14" x14ac:dyDescent="0.25">
      <c r="A366" s="24" t="s">
        <v>373</v>
      </c>
      <c r="B366" s="156" t="s">
        <v>383</v>
      </c>
      <c r="C366" s="156"/>
      <c r="D366" s="156"/>
      <c r="E366" s="156"/>
      <c r="F366" s="156"/>
      <c r="G366" s="67"/>
      <c r="H366" s="67"/>
      <c r="L366" t="e">
        <f t="shared" si="24"/>
        <v>#N/A</v>
      </c>
      <c r="M366">
        <f t="shared" si="25"/>
        <v>0</v>
      </c>
      <c r="N366">
        <f t="shared" si="26"/>
        <v>0</v>
      </c>
    </row>
    <row r="367" spans="1:14" x14ac:dyDescent="0.25">
      <c r="A367" s="24" t="s">
        <v>331</v>
      </c>
      <c r="B367" s="156" t="s">
        <v>407</v>
      </c>
      <c r="C367" s="156"/>
      <c r="D367" s="156"/>
      <c r="E367" s="156"/>
      <c r="F367" s="156"/>
      <c r="G367" s="67"/>
      <c r="H367" s="67"/>
      <c r="L367" t="e">
        <f t="shared" si="24"/>
        <v>#N/A</v>
      </c>
      <c r="M367">
        <f t="shared" si="25"/>
        <v>0</v>
      </c>
      <c r="N367">
        <f t="shared" si="26"/>
        <v>0</v>
      </c>
    </row>
    <row r="368" spans="1:14" x14ac:dyDescent="0.25">
      <c r="A368" s="24" t="s">
        <v>342</v>
      </c>
      <c r="B368" s="156" t="s">
        <v>408</v>
      </c>
      <c r="C368" s="156"/>
      <c r="D368" s="156"/>
      <c r="E368" s="156"/>
      <c r="F368" s="156"/>
      <c r="G368" s="67"/>
      <c r="H368" s="67"/>
      <c r="L368" t="e">
        <f t="shared" si="24"/>
        <v>#N/A</v>
      </c>
      <c r="M368">
        <f t="shared" si="25"/>
        <v>0</v>
      </c>
      <c r="N368">
        <f t="shared" si="26"/>
        <v>0</v>
      </c>
    </row>
    <row r="369" spans="1:14" x14ac:dyDescent="0.25">
      <c r="L369" t="e">
        <f t="shared" si="24"/>
        <v>#N/A</v>
      </c>
      <c r="M369">
        <f t="shared" si="25"/>
        <v>0</v>
      </c>
      <c r="N369">
        <f t="shared" si="26"/>
        <v>0</v>
      </c>
    </row>
    <row r="370" spans="1:14" x14ac:dyDescent="0.25">
      <c r="A370" s="62" t="s">
        <v>163</v>
      </c>
      <c r="B370" s="158" t="s">
        <v>16</v>
      </c>
      <c r="C370" s="158"/>
      <c r="D370" s="158"/>
      <c r="E370" s="158"/>
      <c r="F370" s="158"/>
      <c r="G370" s="68"/>
      <c r="H370" s="68"/>
      <c r="L370" t="e">
        <f t="shared" si="24"/>
        <v>#N/A</v>
      </c>
      <c r="M370">
        <f t="shared" si="25"/>
        <v>0</v>
      </c>
      <c r="N370">
        <f t="shared" si="26"/>
        <v>0</v>
      </c>
    </row>
    <row r="371" spans="1:14" x14ac:dyDescent="0.25">
      <c r="A371" s="24" t="s">
        <v>389</v>
      </c>
      <c r="B371" s="161" t="s">
        <v>391</v>
      </c>
      <c r="C371" s="161"/>
      <c r="D371" s="161"/>
      <c r="E371" s="161"/>
      <c r="F371" s="161"/>
      <c r="G371" s="69"/>
      <c r="H371" s="69"/>
      <c r="L371" t="e">
        <f t="shared" si="24"/>
        <v>#N/A</v>
      </c>
      <c r="M371">
        <f t="shared" si="25"/>
        <v>0</v>
      </c>
      <c r="N371">
        <f t="shared" si="26"/>
        <v>0</v>
      </c>
    </row>
    <row r="372" spans="1:14" x14ac:dyDescent="0.25">
      <c r="A372" s="24" t="s">
        <v>602</v>
      </c>
      <c r="B372" s="161" t="s">
        <v>449</v>
      </c>
      <c r="C372" s="161"/>
      <c r="D372" s="161"/>
      <c r="E372" s="161"/>
      <c r="F372" s="161"/>
      <c r="G372" s="69"/>
      <c r="H372" s="69"/>
      <c r="L372" t="e">
        <f t="shared" si="24"/>
        <v>#N/A</v>
      </c>
      <c r="M372">
        <f t="shared" si="25"/>
        <v>0</v>
      </c>
      <c r="N372">
        <f t="shared" si="26"/>
        <v>0</v>
      </c>
    </row>
    <row r="373" spans="1:14" x14ac:dyDescent="0.25">
      <c r="A373" s="24" t="s">
        <v>625</v>
      </c>
      <c r="B373" s="161" t="s">
        <v>626</v>
      </c>
      <c r="C373" s="161"/>
      <c r="D373" s="161"/>
      <c r="E373" s="161"/>
      <c r="F373" s="161"/>
      <c r="G373" s="69"/>
      <c r="H373" s="69"/>
      <c r="L373" t="e">
        <f t="shared" si="24"/>
        <v>#N/A</v>
      </c>
      <c r="M373">
        <f t="shared" si="25"/>
        <v>0</v>
      </c>
      <c r="N373">
        <f t="shared" si="26"/>
        <v>0</v>
      </c>
    </row>
    <row r="374" spans="1:14" x14ac:dyDescent="0.25">
      <c r="A374" s="3"/>
      <c r="B374" s="69"/>
      <c r="C374" s="69"/>
      <c r="D374" s="69"/>
      <c r="E374" s="69"/>
      <c r="F374" s="69"/>
      <c r="G374" s="69"/>
      <c r="H374" s="69"/>
      <c r="L374" t="e">
        <f t="shared" si="24"/>
        <v>#N/A</v>
      </c>
      <c r="M374">
        <f t="shared" si="25"/>
        <v>0</v>
      </c>
      <c r="N374">
        <f t="shared" si="26"/>
        <v>0</v>
      </c>
    </row>
    <row r="375" spans="1:14" x14ac:dyDescent="0.25">
      <c r="L375" t="e">
        <f t="shared" si="24"/>
        <v>#N/A</v>
      </c>
      <c r="M375">
        <f t="shared" si="25"/>
        <v>0</v>
      </c>
      <c r="N375">
        <f t="shared" si="26"/>
        <v>0</v>
      </c>
    </row>
    <row r="376" spans="1:14" x14ac:dyDescent="0.25">
      <c r="A376" s="159" t="s">
        <v>19</v>
      </c>
      <c r="B376" s="159"/>
      <c r="C376" s="159"/>
      <c r="D376" s="159"/>
      <c r="E376" s="159"/>
      <c r="F376" s="159"/>
      <c r="G376" s="65"/>
      <c r="H376" s="65"/>
      <c r="L376" t="e">
        <f t="shared" si="24"/>
        <v>#N/A</v>
      </c>
      <c r="M376">
        <f t="shared" si="25"/>
        <v>0</v>
      </c>
      <c r="N376">
        <f t="shared" si="26"/>
        <v>0</v>
      </c>
    </row>
    <row r="377" spans="1:14" x14ac:dyDescent="0.25">
      <c r="A377" s="62" t="s">
        <v>15</v>
      </c>
      <c r="B377" s="157" t="s">
        <v>14</v>
      </c>
      <c r="C377" s="157"/>
      <c r="D377" s="157"/>
      <c r="E377" s="157"/>
      <c r="F377" s="157"/>
      <c r="G377" s="62" t="s">
        <v>15</v>
      </c>
      <c r="H377" s="62" t="s">
        <v>16</v>
      </c>
      <c r="L377" t="e">
        <f t="shared" si="24"/>
        <v>#N/A</v>
      </c>
      <c r="M377">
        <f t="shared" si="25"/>
        <v>0</v>
      </c>
      <c r="N377">
        <f t="shared" si="26"/>
        <v>0</v>
      </c>
    </row>
    <row r="378" spans="1:14" x14ac:dyDescent="0.25">
      <c r="A378" t="s">
        <v>443</v>
      </c>
      <c r="B378" s="160" t="e">
        <f>VLOOKUP(A378,RN_BN!$A$3:$D$193,2,FALSE)</f>
        <v>#N/A</v>
      </c>
      <c r="C378" s="160"/>
      <c r="D378" s="160"/>
      <c r="E378" s="160"/>
      <c r="F378" s="160"/>
      <c r="G378" t="e">
        <f>$A$383</f>
        <v>#N/A</v>
      </c>
      <c r="H378" t="s">
        <v>446</v>
      </c>
      <c r="L378" t="str">
        <f t="shared" si="24"/>
        <v>Pe_01_01</v>
      </c>
      <c r="M378" t="e">
        <f t="shared" si="25"/>
        <v>#N/A</v>
      </c>
      <c r="N378" t="str">
        <f t="shared" si="26"/>
        <v>Catálogo de Proveedores</v>
      </c>
    </row>
    <row r="379" spans="1:14" x14ac:dyDescent="0.25">
      <c r="A379" t="s">
        <v>444</v>
      </c>
      <c r="B379" s="160" t="e">
        <f>VLOOKUP(A379,RN_BN!$A$3:$D$193,2,FALSE)</f>
        <v>#N/A</v>
      </c>
      <c r="C379" s="160"/>
      <c r="D379" s="160"/>
      <c r="E379" s="160"/>
      <c r="F379" s="160"/>
      <c r="G379" t="e">
        <f>$A$383</f>
        <v>#N/A</v>
      </c>
      <c r="H379" t="s">
        <v>446</v>
      </c>
      <c r="L379" t="str">
        <f t="shared" si="24"/>
        <v>Pe_01_05</v>
      </c>
      <c r="M379" t="e">
        <f t="shared" si="25"/>
        <v>#N/A</v>
      </c>
      <c r="N379" t="str">
        <f t="shared" si="26"/>
        <v>Catálogo de Proveedores</v>
      </c>
    </row>
    <row r="380" spans="1:14" x14ac:dyDescent="0.25">
      <c r="L380" t="e">
        <f t="shared" si="24"/>
        <v>#N/A</v>
      </c>
      <c r="M380">
        <f t="shared" si="25"/>
        <v>0</v>
      </c>
      <c r="N380">
        <f t="shared" si="26"/>
        <v>0</v>
      </c>
    </row>
    <row r="381" spans="1:14" x14ac:dyDescent="0.25">
      <c r="A381" s="157" t="s">
        <v>143</v>
      </c>
      <c r="B381" s="157"/>
      <c r="C381" s="157" t="s">
        <v>18</v>
      </c>
      <c r="D381" s="157"/>
      <c r="E381" s="157"/>
      <c r="F381" s="157"/>
      <c r="G381" s="63"/>
      <c r="H381" s="63"/>
      <c r="L381" t="e">
        <f t="shared" ref="L381:L444" si="27">IF(VLOOKUP(A381,$K$3:$K$82,1,FALSE)=A381,A381)</f>
        <v>#N/A</v>
      </c>
      <c r="M381">
        <f t="shared" si="25"/>
        <v>0</v>
      </c>
      <c r="N381">
        <f t="shared" si="26"/>
        <v>0</v>
      </c>
    </row>
    <row r="382" spans="1:14" x14ac:dyDescent="0.25">
      <c r="A382" s="62" t="s">
        <v>15</v>
      </c>
      <c r="B382" s="62" t="s">
        <v>16</v>
      </c>
      <c r="C382" s="62" t="s">
        <v>15</v>
      </c>
      <c r="D382" s="62" t="s">
        <v>14</v>
      </c>
      <c r="E382" s="62" t="s">
        <v>8</v>
      </c>
      <c r="F382" s="62" t="s">
        <v>142</v>
      </c>
      <c r="G382" s="62"/>
      <c r="H382" s="62"/>
      <c r="L382" t="e">
        <f t="shared" si="27"/>
        <v>#N/A</v>
      </c>
      <c r="M382">
        <f t="shared" si="25"/>
        <v>0</v>
      </c>
      <c r="N382">
        <f t="shared" si="26"/>
        <v>0</v>
      </c>
    </row>
    <row r="383" spans="1:14" x14ac:dyDescent="0.25">
      <c r="A383" t="e">
        <f>CONCATENATE("UI","_",F383,"_",C383)</f>
        <v>#N/A</v>
      </c>
      <c r="B383" t="s">
        <v>446</v>
      </c>
      <c r="C383" t="e">
        <f>VLOOKUP(A378,RN_BN!$A$3:$D$193,3,FALSE)</f>
        <v>#N/A</v>
      </c>
      <c r="D383" t="e">
        <f>VLOOKUP(A378,RN_BN!$A$3:$D$193,4,FALSE)</f>
        <v>#N/A</v>
      </c>
      <c r="E383" t="e">
        <f>VLOOKUP(C383,RN_BN!$C$3:$F$193,4,FALSE)</f>
        <v>#N/A</v>
      </c>
      <c r="F383" s="22" t="s">
        <v>47</v>
      </c>
      <c r="G383" s="22"/>
      <c r="H383" s="22"/>
      <c r="L383" t="e">
        <f t="shared" si="27"/>
        <v>#N/A</v>
      </c>
      <c r="M383">
        <f t="shared" si="25"/>
        <v>0</v>
      </c>
      <c r="N383">
        <f t="shared" si="26"/>
        <v>0</v>
      </c>
    </row>
    <row r="384" spans="1:14" x14ac:dyDescent="0.25">
      <c r="L384" t="e">
        <f t="shared" si="27"/>
        <v>#N/A</v>
      </c>
      <c r="M384">
        <f t="shared" si="25"/>
        <v>0</v>
      </c>
      <c r="N384">
        <f t="shared" si="26"/>
        <v>0</v>
      </c>
    </row>
    <row r="385" spans="1:14" x14ac:dyDescent="0.25">
      <c r="A385" s="62" t="s">
        <v>162</v>
      </c>
      <c r="B385" s="158" t="s">
        <v>16</v>
      </c>
      <c r="C385" s="158"/>
      <c r="D385" s="158"/>
      <c r="E385" s="158"/>
      <c r="F385" s="158"/>
      <c r="G385" s="68"/>
      <c r="H385" s="68"/>
      <c r="L385" t="e">
        <f t="shared" si="27"/>
        <v>#N/A</v>
      </c>
      <c r="M385">
        <f t="shared" si="25"/>
        <v>0</v>
      </c>
      <c r="N385">
        <f t="shared" si="26"/>
        <v>0</v>
      </c>
    </row>
    <row r="386" spans="1:14" x14ac:dyDescent="0.25">
      <c r="A386" s="24" t="s">
        <v>14</v>
      </c>
      <c r="B386" s="156" t="s">
        <v>413</v>
      </c>
      <c r="C386" s="156"/>
      <c r="D386" s="156"/>
      <c r="E386" s="156"/>
      <c r="F386" s="156"/>
      <c r="G386" s="67"/>
      <c r="H386" s="67"/>
      <c r="L386" t="e">
        <f t="shared" si="27"/>
        <v>#N/A</v>
      </c>
      <c r="M386">
        <f t="shared" si="25"/>
        <v>0</v>
      </c>
      <c r="N386">
        <f t="shared" si="26"/>
        <v>0</v>
      </c>
    </row>
    <row r="387" spans="1:14" x14ac:dyDescent="0.25">
      <c r="A387" s="24" t="s">
        <v>420</v>
      </c>
      <c r="B387" s="156" t="s">
        <v>403</v>
      </c>
      <c r="C387" s="156"/>
      <c r="D387" s="156"/>
      <c r="E387" s="156"/>
      <c r="F387" s="156"/>
      <c r="G387" s="67"/>
      <c r="H387" s="67"/>
      <c r="L387" t="e">
        <f t="shared" si="27"/>
        <v>#N/A</v>
      </c>
      <c r="M387">
        <f t="shared" ref="M387:M450" si="28">IF(ISNA(L387),,G387)</f>
        <v>0</v>
      </c>
      <c r="N387">
        <f t="shared" si="26"/>
        <v>0</v>
      </c>
    </row>
    <row r="388" spans="1:14" x14ac:dyDescent="0.25">
      <c r="A388" s="24" t="s">
        <v>421</v>
      </c>
      <c r="B388" s="156" t="s">
        <v>404</v>
      </c>
      <c r="C388" s="156"/>
      <c r="D388" s="156"/>
      <c r="E388" s="156"/>
      <c r="F388" s="156"/>
      <c r="G388" s="67"/>
      <c r="H388" s="67"/>
      <c r="L388" t="e">
        <f t="shared" si="27"/>
        <v>#N/A</v>
      </c>
      <c r="M388">
        <f t="shared" si="28"/>
        <v>0</v>
      </c>
      <c r="N388">
        <f t="shared" si="26"/>
        <v>0</v>
      </c>
    </row>
    <row r="389" spans="1:14" x14ac:dyDescent="0.25">
      <c r="A389" s="24" t="s">
        <v>422</v>
      </c>
      <c r="B389" s="156" t="s">
        <v>405</v>
      </c>
      <c r="C389" s="156"/>
      <c r="D389" s="156"/>
      <c r="E389" s="156"/>
      <c r="F389" s="156"/>
      <c r="G389" s="67"/>
      <c r="H389" s="67"/>
      <c r="L389" t="e">
        <f t="shared" si="27"/>
        <v>#N/A</v>
      </c>
      <c r="M389">
        <f t="shared" si="28"/>
        <v>0</v>
      </c>
      <c r="N389">
        <f t="shared" si="26"/>
        <v>0</v>
      </c>
    </row>
    <row r="390" spans="1:14" x14ac:dyDescent="0.25">
      <c r="A390" s="24" t="s">
        <v>423</v>
      </c>
      <c r="B390" s="156" t="s">
        <v>406</v>
      </c>
      <c r="C390" s="156"/>
      <c r="D390" s="156"/>
      <c r="E390" s="156"/>
      <c r="F390" s="156"/>
      <c r="G390" s="67"/>
      <c r="H390" s="67"/>
      <c r="L390" t="e">
        <f t="shared" si="27"/>
        <v>#N/A</v>
      </c>
      <c r="M390">
        <f t="shared" si="28"/>
        <v>0</v>
      </c>
      <c r="N390">
        <f t="shared" si="26"/>
        <v>0</v>
      </c>
    </row>
    <row r="391" spans="1:14" x14ac:dyDescent="0.25">
      <c r="A391" s="24" t="s">
        <v>424</v>
      </c>
      <c r="B391" s="156" t="s">
        <v>412</v>
      </c>
      <c r="C391" s="156"/>
      <c r="D391" s="156"/>
      <c r="E391" s="156"/>
      <c r="F391" s="156"/>
      <c r="G391" s="67"/>
      <c r="H391" s="67"/>
      <c r="L391" t="e">
        <f t="shared" si="27"/>
        <v>#N/A</v>
      </c>
      <c r="M391">
        <f t="shared" si="28"/>
        <v>0</v>
      </c>
      <c r="N391">
        <f t="shared" si="26"/>
        <v>0</v>
      </c>
    </row>
    <row r="392" spans="1:14" x14ac:dyDescent="0.25">
      <c r="A392" s="24" t="s">
        <v>451</v>
      </c>
      <c r="B392" s="156" t="s">
        <v>452</v>
      </c>
      <c r="C392" s="156"/>
      <c r="D392" s="156"/>
      <c r="E392" s="156"/>
      <c r="F392" s="156"/>
      <c r="G392" s="67"/>
      <c r="H392" s="67"/>
      <c r="L392" t="e">
        <f t="shared" si="27"/>
        <v>#N/A</v>
      </c>
      <c r="M392">
        <f t="shared" si="28"/>
        <v>0</v>
      </c>
      <c r="N392">
        <f t="shared" si="26"/>
        <v>0</v>
      </c>
    </row>
    <row r="393" spans="1:14" x14ac:dyDescent="0.25">
      <c r="L393" t="e">
        <f t="shared" si="27"/>
        <v>#N/A</v>
      </c>
      <c r="M393">
        <f t="shared" si="28"/>
        <v>0</v>
      </c>
      <c r="N393">
        <f t="shared" si="26"/>
        <v>0</v>
      </c>
    </row>
    <row r="394" spans="1:14" x14ac:dyDescent="0.25">
      <c r="A394" s="62" t="s">
        <v>163</v>
      </c>
      <c r="B394" s="158" t="s">
        <v>16</v>
      </c>
      <c r="C394" s="158"/>
      <c r="D394" s="158"/>
      <c r="E394" s="158"/>
      <c r="F394" s="158"/>
      <c r="G394" s="68"/>
      <c r="H394" s="68"/>
      <c r="L394" t="e">
        <f t="shared" si="27"/>
        <v>#N/A</v>
      </c>
      <c r="M394">
        <f t="shared" si="28"/>
        <v>0</v>
      </c>
      <c r="N394">
        <f t="shared" si="26"/>
        <v>0</v>
      </c>
    </row>
    <row r="395" spans="1:14" x14ac:dyDescent="0.25">
      <c r="A395" s="24" t="s">
        <v>425</v>
      </c>
      <c r="B395" s="161" t="s">
        <v>428</v>
      </c>
      <c r="C395" s="161"/>
      <c r="D395" s="161"/>
      <c r="E395" s="161"/>
      <c r="F395" s="161"/>
      <c r="G395" s="69"/>
      <c r="H395" s="69"/>
      <c r="L395" t="e">
        <f t="shared" si="27"/>
        <v>#N/A</v>
      </c>
      <c r="M395">
        <f t="shared" si="28"/>
        <v>0</v>
      </c>
      <c r="N395">
        <f t="shared" si="26"/>
        <v>0</v>
      </c>
    </row>
    <row r="396" spans="1:14" x14ac:dyDescent="0.25">
      <c r="A396" s="24" t="s">
        <v>426</v>
      </c>
      <c r="B396" s="161" t="s">
        <v>429</v>
      </c>
      <c r="C396" s="161"/>
      <c r="D396" s="161"/>
      <c r="E396" s="161"/>
      <c r="F396" s="161"/>
      <c r="G396" s="69"/>
      <c r="H396" s="69"/>
      <c r="L396" t="e">
        <f t="shared" si="27"/>
        <v>#N/A</v>
      </c>
      <c r="M396">
        <f t="shared" si="28"/>
        <v>0</v>
      </c>
      <c r="N396">
        <f t="shared" ref="N396:N459" si="29">IF(ISNA(L396),,H396)</f>
        <v>0</v>
      </c>
    </row>
    <row r="397" spans="1:14" x14ac:dyDescent="0.25">
      <c r="A397" s="24" t="s">
        <v>427</v>
      </c>
      <c r="B397" s="161" t="s">
        <v>430</v>
      </c>
      <c r="C397" s="161"/>
      <c r="D397" s="161"/>
      <c r="E397" s="161"/>
      <c r="F397" s="161"/>
      <c r="G397" s="69"/>
      <c r="H397" s="69"/>
      <c r="L397" t="e">
        <f t="shared" si="27"/>
        <v>#N/A</v>
      </c>
      <c r="M397">
        <f t="shared" si="28"/>
        <v>0</v>
      </c>
      <c r="N397">
        <f t="shared" si="29"/>
        <v>0</v>
      </c>
    </row>
    <row r="398" spans="1:14" x14ac:dyDescent="0.25">
      <c r="A398" s="24" t="s">
        <v>431</v>
      </c>
      <c r="B398" s="161" t="s">
        <v>432</v>
      </c>
      <c r="C398" s="161"/>
      <c r="D398" s="161"/>
      <c r="E398" s="161"/>
      <c r="F398" s="161"/>
      <c r="G398" s="69"/>
      <c r="H398" s="69"/>
      <c r="L398" t="e">
        <f t="shared" si="27"/>
        <v>#N/A</v>
      </c>
      <c r="M398">
        <f t="shared" si="28"/>
        <v>0</v>
      </c>
      <c r="N398">
        <f t="shared" si="29"/>
        <v>0</v>
      </c>
    </row>
    <row r="399" spans="1:14" x14ac:dyDescent="0.25">
      <c r="A399" s="24" t="s">
        <v>627</v>
      </c>
      <c r="B399" s="161" t="s">
        <v>628</v>
      </c>
      <c r="C399" s="161"/>
      <c r="D399" s="161"/>
      <c r="E399" s="161"/>
      <c r="F399" s="161"/>
      <c r="G399" s="69"/>
      <c r="H399" s="69"/>
      <c r="L399" t="e">
        <f t="shared" si="27"/>
        <v>#N/A</v>
      </c>
      <c r="M399">
        <f t="shared" si="28"/>
        <v>0</v>
      </c>
      <c r="N399">
        <f t="shared" si="29"/>
        <v>0</v>
      </c>
    </row>
    <row r="400" spans="1:14" x14ac:dyDescent="0.25">
      <c r="L400" t="e">
        <f t="shared" si="27"/>
        <v>#N/A</v>
      </c>
      <c r="M400">
        <f t="shared" si="28"/>
        <v>0</v>
      </c>
      <c r="N400">
        <f t="shared" si="29"/>
        <v>0</v>
      </c>
    </row>
    <row r="401" spans="1:14" x14ac:dyDescent="0.25">
      <c r="L401" t="e">
        <f t="shared" si="27"/>
        <v>#N/A</v>
      </c>
      <c r="M401">
        <f t="shared" si="28"/>
        <v>0</v>
      </c>
      <c r="N401">
        <f t="shared" si="29"/>
        <v>0</v>
      </c>
    </row>
    <row r="402" spans="1:14" x14ac:dyDescent="0.25">
      <c r="A402" s="159" t="s">
        <v>19</v>
      </c>
      <c r="B402" s="159"/>
      <c r="C402" s="159"/>
      <c r="D402" s="159"/>
      <c r="E402" s="159"/>
      <c r="F402" s="159"/>
      <c r="G402" s="65"/>
      <c r="H402" s="65"/>
      <c r="L402" t="e">
        <f t="shared" si="27"/>
        <v>#N/A</v>
      </c>
      <c r="M402">
        <f t="shared" si="28"/>
        <v>0</v>
      </c>
      <c r="N402">
        <f t="shared" si="29"/>
        <v>0</v>
      </c>
    </row>
    <row r="403" spans="1:14" x14ac:dyDescent="0.25">
      <c r="A403" s="62" t="s">
        <v>15</v>
      </c>
      <c r="B403" s="157" t="s">
        <v>14</v>
      </c>
      <c r="C403" s="157"/>
      <c r="D403" s="157"/>
      <c r="E403" s="157"/>
      <c r="F403" s="157"/>
      <c r="G403" s="62" t="s">
        <v>15</v>
      </c>
      <c r="H403" s="62" t="s">
        <v>16</v>
      </c>
      <c r="L403" t="e">
        <f t="shared" si="27"/>
        <v>#N/A</v>
      </c>
      <c r="M403">
        <f t="shared" si="28"/>
        <v>0</v>
      </c>
      <c r="N403">
        <f t="shared" si="29"/>
        <v>0</v>
      </c>
    </row>
    <row r="404" spans="1:14" x14ac:dyDescent="0.25">
      <c r="A404" t="s">
        <v>445</v>
      </c>
      <c r="B404" s="160" t="e">
        <f>VLOOKUP(A404,RN_BN!$A$3:$D$193,2,FALSE)</f>
        <v>#N/A</v>
      </c>
      <c r="C404" s="160"/>
      <c r="D404" s="160"/>
      <c r="E404" s="160"/>
      <c r="F404" s="160"/>
      <c r="G404" t="e">
        <f>A408</f>
        <v>#N/A</v>
      </c>
      <c r="H404" t="s">
        <v>447</v>
      </c>
      <c r="L404" t="str">
        <f t="shared" si="27"/>
        <v>Pe_01_02</v>
      </c>
      <c r="M404" t="e">
        <f t="shared" si="28"/>
        <v>#N/A</v>
      </c>
      <c r="N404" t="str">
        <f t="shared" si="29"/>
        <v>Asociación de Proveedores a Mercancías</v>
      </c>
    </row>
    <row r="405" spans="1:14" x14ac:dyDescent="0.25">
      <c r="L405" t="e">
        <f t="shared" si="27"/>
        <v>#N/A</v>
      </c>
      <c r="M405">
        <f t="shared" si="28"/>
        <v>0</v>
      </c>
      <c r="N405">
        <f t="shared" si="29"/>
        <v>0</v>
      </c>
    </row>
    <row r="406" spans="1:14" x14ac:dyDescent="0.25">
      <c r="A406" s="157" t="s">
        <v>143</v>
      </c>
      <c r="B406" s="157"/>
      <c r="C406" s="157" t="s">
        <v>18</v>
      </c>
      <c r="D406" s="157"/>
      <c r="E406" s="157"/>
      <c r="F406" s="157"/>
      <c r="G406" s="63"/>
      <c r="H406" s="63"/>
      <c r="L406" t="e">
        <f t="shared" si="27"/>
        <v>#N/A</v>
      </c>
      <c r="M406">
        <f t="shared" si="28"/>
        <v>0</v>
      </c>
      <c r="N406">
        <f t="shared" si="29"/>
        <v>0</v>
      </c>
    </row>
    <row r="407" spans="1:14" x14ac:dyDescent="0.25">
      <c r="A407" s="62" t="s">
        <v>15</v>
      </c>
      <c r="B407" s="62" t="s">
        <v>16</v>
      </c>
      <c r="C407" s="62" t="s">
        <v>15</v>
      </c>
      <c r="D407" s="62" t="s">
        <v>14</v>
      </c>
      <c r="E407" s="62" t="s">
        <v>8</v>
      </c>
      <c r="F407" s="62" t="s">
        <v>142</v>
      </c>
      <c r="G407" s="62"/>
      <c r="H407" s="62"/>
      <c r="L407" t="e">
        <f t="shared" si="27"/>
        <v>#N/A</v>
      </c>
      <c r="M407">
        <f t="shared" si="28"/>
        <v>0</v>
      </c>
      <c r="N407">
        <f t="shared" si="29"/>
        <v>0</v>
      </c>
    </row>
    <row r="408" spans="1:14" x14ac:dyDescent="0.25">
      <c r="A408" t="e">
        <f>CONCATENATE("UI","_",F408,"_",C408)</f>
        <v>#N/A</v>
      </c>
      <c r="B408" t="s">
        <v>447</v>
      </c>
      <c r="C408" t="e">
        <f>VLOOKUP(A404,RN_BN!$A$3:$D$193,3,FALSE)</f>
        <v>#N/A</v>
      </c>
      <c r="D408" t="e">
        <f>VLOOKUP(A404,RN_BN!$A$3:$D$193,4,FALSE)</f>
        <v>#N/A</v>
      </c>
      <c r="E408" t="e">
        <f>VLOOKUP(C408,RN_BN!$C$3:$F$193,4,FALSE)</f>
        <v>#N/A</v>
      </c>
      <c r="F408" s="22" t="s">
        <v>48</v>
      </c>
      <c r="G408" s="22"/>
      <c r="H408" s="22"/>
      <c r="L408" t="e">
        <f t="shared" si="27"/>
        <v>#N/A</v>
      </c>
      <c r="M408">
        <f t="shared" si="28"/>
        <v>0</v>
      </c>
      <c r="N408">
        <f t="shared" si="29"/>
        <v>0</v>
      </c>
    </row>
    <row r="409" spans="1:14" x14ac:dyDescent="0.25">
      <c r="L409" t="e">
        <f t="shared" si="27"/>
        <v>#N/A</v>
      </c>
      <c r="M409">
        <f t="shared" si="28"/>
        <v>0</v>
      </c>
      <c r="N409">
        <f t="shared" si="29"/>
        <v>0</v>
      </c>
    </row>
    <row r="410" spans="1:14" x14ac:dyDescent="0.25">
      <c r="A410" s="62" t="s">
        <v>162</v>
      </c>
      <c r="B410" s="158" t="s">
        <v>16</v>
      </c>
      <c r="C410" s="158"/>
      <c r="D410" s="158"/>
      <c r="E410" s="158"/>
      <c r="F410" s="158"/>
      <c r="G410" s="68"/>
      <c r="H410" s="68"/>
      <c r="L410" t="e">
        <f t="shared" si="27"/>
        <v>#N/A</v>
      </c>
      <c r="M410">
        <f t="shared" si="28"/>
        <v>0</v>
      </c>
      <c r="N410">
        <f t="shared" si="29"/>
        <v>0</v>
      </c>
    </row>
    <row r="411" spans="1:14" x14ac:dyDescent="0.25">
      <c r="A411" s="24" t="s">
        <v>433</v>
      </c>
      <c r="B411" s="156" t="s">
        <v>437</v>
      </c>
      <c r="C411" s="156"/>
      <c r="D411" s="156"/>
      <c r="E411" s="156"/>
      <c r="F411" s="156"/>
      <c r="G411" s="67"/>
      <c r="H411" s="67"/>
      <c r="L411" t="e">
        <f t="shared" si="27"/>
        <v>#N/A</v>
      </c>
      <c r="M411">
        <f t="shared" si="28"/>
        <v>0</v>
      </c>
      <c r="N411">
        <f t="shared" si="29"/>
        <v>0</v>
      </c>
    </row>
    <row r="412" spans="1:14" x14ac:dyDescent="0.25">
      <c r="A412" s="24" t="s">
        <v>439</v>
      </c>
      <c r="B412" s="156" t="s">
        <v>436</v>
      </c>
      <c r="C412" s="156"/>
      <c r="D412" s="156"/>
      <c r="E412" s="156"/>
      <c r="F412" s="156"/>
      <c r="G412" s="67"/>
      <c r="H412" s="67"/>
      <c r="L412" t="e">
        <f t="shared" si="27"/>
        <v>#N/A</v>
      </c>
      <c r="M412">
        <f t="shared" si="28"/>
        <v>0</v>
      </c>
      <c r="N412">
        <f t="shared" si="29"/>
        <v>0</v>
      </c>
    </row>
    <row r="413" spans="1:14" x14ac:dyDescent="0.25">
      <c r="A413" s="24" t="s">
        <v>433</v>
      </c>
      <c r="B413" s="156" t="s">
        <v>437</v>
      </c>
      <c r="C413" s="156"/>
      <c r="D413" s="156"/>
      <c r="E413" s="156"/>
      <c r="F413" s="156"/>
      <c r="G413" s="67"/>
      <c r="H413" s="67"/>
      <c r="L413" t="e">
        <f t="shared" si="27"/>
        <v>#N/A</v>
      </c>
      <c r="M413">
        <f t="shared" si="28"/>
        <v>0</v>
      </c>
      <c r="N413">
        <f t="shared" si="29"/>
        <v>0</v>
      </c>
    </row>
    <row r="414" spans="1:14" x14ac:dyDescent="0.25">
      <c r="A414" s="24" t="s">
        <v>439</v>
      </c>
      <c r="B414" s="156" t="s">
        <v>438</v>
      </c>
      <c r="C414" s="156"/>
      <c r="D414" s="156"/>
      <c r="E414" s="156"/>
      <c r="F414" s="156"/>
      <c r="G414" s="67"/>
      <c r="H414" s="67"/>
      <c r="L414" t="e">
        <f t="shared" si="27"/>
        <v>#N/A</v>
      </c>
      <c r="M414">
        <f t="shared" si="28"/>
        <v>0</v>
      </c>
      <c r="N414">
        <f t="shared" si="29"/>
        <v>0</v>
      </c>
    </row>
    <row r="415" spans="1:14" x14ac:dyDescent="0.25">
      <c r="L415" t="e">
        <f t="shared" si="27"/>
        <v>#N/A</v>
      </c>
      <c r="M415">
        <f t="shared" si="28"/>
        <v>0</v>
      </c>
      <c r="N415">
        <f t="shared" si="29"/>
        <v>0</v>
      </c>
    </row>
    <row r="416" spans="1:14" x14ac:dyDescent="0.25">
      <c r="A416" s="62" t="s">
        <v>163</v>
      </c>
      <c r="B416" s="158" t="s">
        <v>16</v>
      </c>
      <c r="C416" s="158"/>
      <c r="D416" s="158"/>
      <c r="E416" s="158"/>
      <c r="F416" s="158"/>
      <c r="G416" s="68"/>
      <c r="H416" s="68"/>
      <c r="L416" t="e">
        <f t="shared" si="27"/>
        <v>#N/A</v>
      </c>
      <c r="M416">
        <f t="shared" si="28"/>
        <v>0</v>
      </c>
      <c r="N416">
        <f t="shared" si="29"/>
        <v>0</v>
      </c>
    </row>
    <row r="417" spans="1:14" x14ac:dyDescent="0.25">
      <c r="A417" s="24" t="s">
        <v>434</v>
      </c>
      <c r="B417" s="161" t="s">
        <v>440</v>
      </c>
      <c r="C417" s="161"/>
      <c r="D417" s="161"/>
      <c r="E417" s="161"/>
      <c r="F417" s="161"/>
      <c r="G417" s="69"/>
      <c r="H417" s="69"/>
      <c r="L417" t="e">
        <f t="shared" si="27"/>
        <v>#N/A</v>
      </c>
      <c r="M417">
        <f t="shared" si="28"/>
        <v>0</v>
      </c>
      <c r="N417">
        <f t="shared" si="29"/>
        <v>0</v>
      </c>
    </row>
    <row r="418" spans="1:14" x14ac:dyDescent="0.25">
      <c r="A418" s="24" t="s">
        <v>435</v>
      </c>
      <c r="B418" s="161" t="s">
        <v>441</v>
      </c>
      <c r="C418" s="161"/>
      <c r="D418" s="161"/>
      <c r="E418" s="161"/>
      <c r="F418" s="161"/>
      <c r="G418" s="69"/>
      <c r="H418" s="69"/>
      <c r="L418" t="e">
        <f t="shared" si="27"/>
        <v>#N/A</v>
      </c>
      <c r="M418">
        <f t="shared" si="28"/>
        <v>0</v>
      </c>
      <c r="N418">
        <f t="shared" si="29"/>
        <v>0</v>
      </c>
    </row>
    <row r="419" spans="1:14" x14ac:dyDescent="0.25">
      <c r="A419" s="24" t="s">
        <v>600</v>
      </c>
      <c r="B419" s="161" t="s">
        <v>442</v>
      </c>
      <c r="C419" s="161"/>
      <c r="D419" s="161"/>
      <c r="E419" s="161"/>
      <c r="F419" s="161"/>
      <c r="G419" s="69"/>
      <c r="H419" s="69"/>
      <c r="L419" t="e">
        <f t="shared" si="27"/>
        <v>#N/A</v>
      </c>
      <c r="M419">
        <f t="shared" si="28"/>
        <v>0</v>
      </c>
      <c r="N419">
        <f t="shared" si="29"/>
        <v>0</v>
      </c>
    </row>
    <row r="420" spans="1:14" x14ac:dyDescent="0.25">
      <c r="L420" t="e">
        <f t="shared" si="27"/>
        <v>#N/A</v>
      </c>
      <c r="M420">
        <f t="shared" si="28"/>
        <v>0</v>
      </c>
      <c r="N420">
        <f t="shared" si="29"/>
        <v>0</v>
      </c>
    </row>
    <row r="421" spans="1:14" x14ac:dyDescent="0.25">
      <c r="L421" t="e">
        <f t="shared" si="27"/>
        <v>#N/A</v>
      </c>
      <c r="M421">
        <f t="shared" si="28"/>
        <v>0</v>
      </c>
      <c r="N421">
        <f t="shared" si="29"/>
        <v>0</v>
      </c>
    </row>
    <row r="422" spans="1:14" x14ac:dyDescent="0.25">
      <c r="L422" t="e">
        <f t="shared" si="27"/>
        <v>#N/A</v>
      </c>
      <c r="M422">
        <f t="shared" si="28"/>
        <v>0</v>
      </c>
      <c r="N422">
        <f t="shared" si="29"/>
        <v>0</v>
      </c>
    </row>
    <row r="423" spans="1:14" x14ac:dyDescent="0.25">
      <c r="A423" s="159" t="s">
        <v>19</v>
      </c>
      <c r="B423" s="159"/>
      <c r="C423" s="159"/>
      <c r="D423" s="159"/>
      <c r="E423" s="159"/>
      <c r="F423" s="159"/>
      <c r="G423" s="65"/>
      <c r="H423" s="65"/>
      <c r="L423" t="e">
        <f t="shared" si="27"/>
        <v>#N/A</v>
      </c>
      <c r="M423">
        <f t="shared" si="28"/>
        <v>0</v>
      </c>
      <c r="N423">
        <f t="shared" si="29"/>
        <v>0</v>
      </c>
    </row>
    <row r="424" spans="1:14" x14ac:dyDescent="0.25">
      <c r="A424" s="62" t="s">
        <v>15</v>
      </c>
      <c r="B424" s="157" t="s">
        <v>14</v>
      </c>
      <c r="C424" s="157"/>
      <c r="D424" s="157"/>
      <c r="E424" s="157"/>
      <c r="F424" s="157"/>
      <c r="G424" s="62" t="s">
        <v>15</v>
      </c>
      <c r="H424" s="62" t="s">
        <v>16</v>
      </c>
      <c r="L424" t="e">
        <f t="shared" si="27"/>
        <v>#N/A</v>
      </c>
      <c r="M424">
        <f t="shared" si="28"/>
        <v>0</v>
      </c>
      <c r="N424">
        <f t="shared" si="29"/>
        <v>0</v>
      </c>
    </row>
    <row r="425" spans="1:14" x14ac:dyDescent="0.25">
      <c r="A425" t="s">
        <v>453</v>
      </c>
      <c r="B425" s="160" t="e">
        <f>VLOOKUP(A425,RN_BN!$A$3:$D$193,2,FALSE)</f>
        <v>#N/A</v>
      </c>
      <c r="C425" s="160"/>
      <c r="D425" s="160"/>
      <c r="E425" s="160"/>
      <c r="F425" s="160"/>
      <c r="G425" t="e">
        <f>$A$431</f>
        <v>#N/A</v>
      </c>
      <c r="H425" t="s">
        <v>455</v>
      </c>
      <c r="L425" t="str">
        <f t="shared" si="27"/>
        <v>Pe_02_02</v>
      </c>
      <c r="M425" t="e">
        <f t="shared" si="28"/>
        <v>#N/A</v>
      </c>
      <c r="N425" t="str">
        <f t="shared" si="29"/>
        <v>Creación de la órden de compra</v>
      </c>
    </row>
    <row r="426" spans="1:14" x14ac:dyDescent="0.25">
      <c r="A426" t="s">
        <v>454</v>
      </c>
      <c r="B426" s="160" t="e">
        <f>VLOOKUP(A426,RN_BN!$A$3:$D$193,2,FALSE)</f>
        <v>#N/A</v>
      </c>
      <c r="C426" s="160"/>
      <c r="D426" s="160"/>
      <c r="E426" s="160"/>
      <c r="F426" s="160"/>
      <c r="G426" t="e">
        <f>$A$431</f>
        <v>#N/A</v>
      </c>
      <c r="H426" t="s">
        <v>455</v>
      </c>
      <c r="L426" t="str">
        <f t="shared" si="27"/>
        <v>Pe_02_04</v>
      </c>
      <c r="M426" t="e">
        <f t="shared" si="28"/>
        <v>#N/A</v>
      </c>
      <c r="N426" t="str">
        <f t="shared" si="29"/>
        <v>Creación de la órden de compra</v>
      </c>
    </row>
    <row r="427" spans="1:14" x14ac:dyDescent="0.25">
      <c r="B427" s="160"/>
      <c r="C427" s="160"/>
      <c r="D427" s="160"/>
      <c r="E427" s="160"/>
      <c r="F427" s="160"/>
      <c r="G427" s="66"/>
      <c r="H427" s="66"/>
      <c r="L427" t="e">
        <f t="shared" si="27"/>
        <v>#N/A</v>
      </c>
      <c r="M427">
        <f t="shared" si="28"/>
        <v>0</v>
      </c>
      <c r="N427">
        <f t="shared" si="29"/>
        <v>0</v>
      </c>
    </row>
    <row r="428" spans="1:14" x14ac:dyDescent="0.25">
      <c r="L428" t="e">
        <f t="shared" si="27"/>
        <v>#N/A</v>
      </c>
      <c r="M428">
        <f t="shared" si="28"/>
        <v>0</v>
      </c>
      <c r="N428">
        <f t="shared" si="29"/>
        <v>0</v>
      </c>
    </row>
    <row r="429" spans="1:14" x14ac:dyDescent="0.25">
      <c r="A429" s="157" t="s">
        <v>143</v>
      </c>
      <c r="B429" s="157"/>
      <c r="C429" s="157" t="s">
        <v>18</v>
      </c>
      <c r="D429" s="157"/>
      <c r="E429" s="157"/>
      <c r="F429" s="157"/>
      <c r="G429" s="63"/>
      <c r="H429" s="63"/>
      <c r="L429" t="e">
        <f t="shared" si="27"/>
        <v>#N/A</v>
      </c>
      <c r="M429">
        <f t="shared" si="28"/>
        <v>0</v>
      </c>
      <c r="N429">
        <f t="shared" si="29"/>
        <v>0</v>
      </c>
    </row>
    <row r="430" spans="1:14" x14ac:dyDescent="0.25">
      <c r="A430" s="62" t="s">
        <v>15</v>
      </c>
      <c r="B430" s="62" t="s">
        <v>16</v>
      </c>
      <c r="C430" s="62" t="s">
        <v>15</v>
      </c>
      <c r="D430" s="62" t="s">
        <v>14</v>
      </c>
      <c r="E430" s="62" t="s">
        <v>8</v>
      </c>
      <c r="F430" s="62" t="s">
        <v>142</v>
      </c>
      <c r="G430" s="62"/>
      <c r="H430" s="62"/>
      <c r="L430" t="e">
        <f t="shared" si="27"/>
        <v>#N/A</v>
      </c>
      <c r="M430">
        <f t="shared" si="28"/>
        <v>0</v>
      </c>
      <c r="N430">
        <f t="shared" si="29"/>
        <v>0</v>
      </c>
    </row>
    <row r="431" spans="1:14" x14ac:dyDescent="0.25">
      <c r="A431" t="e">
        <f>CONCATENATE("UI","_",F431,"_",C431)</f>
        <v>#N/A</v>
      </c>
      <c r="B431" t="s">
        <v>455</v>
      </c>
      <c r="C431" t="e">
        <f>VLOOKUP(A425,RN_BN!$A$3:$D$193,3,FALSE)</f>
        <v>#N/A</v>
      </c>
      <c r="D431" t="e">
        <f>VLOOKUP(A425,RN_BN!$A$3:$D$193,4,FALSE)</f>
        <v>#N/A</v>
      </c>
      <c r="E431" t="e">
        <f>VLOOKUP(C431,RN_BN!$C$3:$F$193,4,FALSE)</f>
        <v>#N/A</v>
      </c>
      <c r="F431" s="22" t="s">
        <v>47</v>
      </c>
      <c r="G431" s="22"/>
      <c r="H431" s="22"/>
      <c r="L431" t="e">
        <f t="shared" si="27"/>
        <v>#N/A</v>
      </c>
      <c r="M431">
        <f t="shared" si="28"/>
        <v>0</v>
      </c>
      <c r="N431">
        <f t="shared" si="29"/>
        <v>0</v>
      </c>
    </row>
    <row r="432" spans="1:14" x14ac:dyDescent="0.25">
      <c r="L432" t="e">
        <f t="shared" si="27"/>
        <v>#N/A</v>
      </c>
      <c r="M432">
        <f t="shared" si="28"/>
        <v>0</v>
      </c>
      <c r="N432">
        <f t="shared" si="29"/>
        <v>0</v>
      </c>
    </row>
    <row r="433" spans="1:14" x14ac:dyDescent="0.25">
      <c r="A433" s="62" t="s">
        <v>162</v>
      </c>
      <c r="B433" s="158" t="s">
        <v>16</v>
      </c>
      <c r="C433" s="158"/>
      <c r="D433" s="158"/>
      <c r="E433" s="158"/>
      <c r="F433" s="158"/>
      <c r="G433" s="68"/>
      <c r="H433" s="68"/>
      <c r="L433" t="e">
        <f t="shared" si="27"/>
        <v>#N/A</v>
      </c>
      <c r="M433">
        <f t="shared" si="28"/>
        <v>0</v>
      </c>
      <c r="N433">
        <f t="shared" si="29"/>
        <v>0</v>
      </c>
    </row>
    <row r="434" spans="1:14" x14ac:dyDescent="0.25">
      <c r="A434" s="24" t="s">
        <v>261</v>
      </c>
      <c r="B434" s="156" t="s">
        <v>262</v>
      </c>
      <c r="C434" s="156"/>
      <c r="D434" s="156"/>
      <c r="E434" s="156"/>
      <c r="F434" s="156"/>
      <c r="G434" s="67"/>
      <c r="H434" s="67"/>
      <c r="L434" t="e">
        <f t="shared" si="27"/>
        <v>#N/A</v>
      </c>
      <c r="M434">
        <f t="shared" si="28"/>
        <v>0</v>
      </c>
      <c r="N434">
        <f t="shared" si="29"/>
        <v>0</v>
      </c>
    </row>
    <row r="435" spans="1:14" x14ac:dyDescent="0.25">
      <c r="A435" s="24" t="s">
        <v>95</v>
      </c>
      <c r="B435" s="156" t="s">
        <v>263</v>
      </c>
      <c r="C435" s="156"/>
      <c r="D435" s="156"/>
      <c r="E435" s="156"/>
      <c r="F435" s="156"/>
      <c r="G435" s="67"/>
      <c r="H435" s="67"/>
      <c r="L435" t="e">
        <f t="shared" si="27"/>
        <v>#N/A</v>
      </c>
      <c r="M435">
        <f t="shared" si="28"/>
        <v>0</v>
      </c>
      <c r="N435">
        <f t="shared" si="29"/>
        <v>0</v>
      </c>
    </row>
    <row r="436" spans="1:14" x14ac:dyDescent="0.25">
      <c r="A436" s="24" t="s">
        <v>96</v>
      </c>
      <c r="B436" s="156" t="s">
        <v>264</v>
      </c>
      <c r="C436" s="156"/>
      <c r="D436" s="156"/>
      <c r="E436" s="156"/>
      <c r="F436" s="156"/>
      <c r="G436" s="67"/>
      <c r="H436" s="67"/>
      <c r="L436" t="e">
        <f t="shared" si="27"/>
        <v>#N/A</v>
      </c>
      <c r="M436">
        <f t="shared" si="28"/>
        <v>0</v>
      </c>
      <c r="N436">
        <f t="shared" si="29"/>
        <v>0</v>
      </c>
    </row>
    <row r="437" spans="1:14" x14ac:dyDescent="0.25">
      <c r="A437" s="24" t="s">
        <v>148</v>
      </c>
      <c r="B437" s="156" t="s">
        <v>456</v>
      </c>
      <c r="C437" s="156"/>
      <c r="D437" s="156"/>
      <c r="E437" s="156"/>
      <c r="F437" s="156"/>
      <c r="G437" s="67"/>
      <c r="H437" s="67"/>
      <c r="L437" t="e">
        <f t="shared" si="27"/>
        <v>#N/A</v>
      </c>
      <c r="M437">
        <f t="shared" si="28"/>
        <v>0</v>
      </c>
      <c r="N437">
        <f t="shared" si="29"/>
        <v>0</v>
      </c>
    </row>
    <row r="438" spans="1:14" x14ac:dyDescent="0.25">
      <c r="A438" s="24" t="s">
        <v>457</v>
      </c>
      <c r="B438" s="156" t="s">
        <v>458</v>
      </c>
      <c r="C438" s="156"/>
      <c r="D438" s="156"/>
      <c r="E438" s="156"/>
      <c r="F438" s="156"/>
      <c r="G438" s="67"/>
      <c r="H438" s="67"/>
      <c r="L438" t="e">
        <f t="shared" si="27"/>
        <v>#N/A</v>
      </c>
      <c r="M438">
        <f t="shared" si="28"/>
        <v>0</v>
      </c>
      <c r="N438">
        <f t="shared" si="29"/>
        <v>0</v>
      </c>
    </row>
    <row r="439" spans="1:14" x14ac:dyDescent="0.25">
      <c r="A439" s="24" t="s">
        <v>267</v>
      </c>
      <c r="B439" s="156" t="s">
        <v>459</v>
      </c>
      <c r="C439" s="156"/>
      <c r="D439" s="156"/>
      <c r="E439" s="156"/>
      <c r="F439" s="156"/>
      <c r="G439" s="67"/>
      <c r="H439" s="67"/>
      <c r="L439" t="e">
        <f t="shared" si="27"/>
        <v>#N/A</v>
      </c>
      <c r="M439">
        <f t="shared" si="28"/>
        <v>0</v>
      </c>
      <c r="N439">
        <f t="shared" si="29"/>
        <v>0</v>
      </c>
    </row>
    <row r="440" spans="1:14" x14ac:dyDescent="0.25">
      <c r="A440" s="24" t="s">
        <v>235</v>
      </c>
      <c r="B440" s="156" t="s">
        <v>246</v>
      </c>
      <c r="C440" s="156"/>
      <c r="D440" s="156"/>
      <c r="E440" s="156"/>
      <c r="F440" s="156"/>
      <c r="G440" s="67"/>
      <c r="H440" s="67"/>
      <c r="L440" t="e">
        <f t="shared" si="27"/>
        <v>#N/A</v>
      </c>
      <c r="M440">
        <f t="shared" si="28"/>
        <v>0</v>
      </c>
      <c r="N440">
        <f t="shared" si="29"/>
        <v>0</v>
      </c>
    </row>
    <row r="441" spans="1:14" x14ac:dyDescent="0.25">
      <c r="A441" s="24" t="s">
        <v>460</v>
      </c>
      <c r="B441" s="156" t="s">
        <v>461</v>
      </c>
      <c r="C441" s="156"/>
      <c r="D441" s="156"/>
      <c r="E441" s="156"/>
      <c r="F441" s="156"/>
      <c r="G441" s="67"/>
      <c r="H441" s="67"/>
      <c r="L441" t="e">
        <f t="shared" si="27"/>
        <v>#N/A</v>
      </c>
      <c r="M441">
        <f t="shared" si="28"/>
        <v>0</v>
      </c>
      <c r="N441">
        <f t="shared" si="29"/>
        <v>0</v>
      </c>
    </row>
    <row r="442" spans="1:14" x14ac:dyDescent="0.25">
      <c r="A442" s="24" t="s">
        <v>451</v>
      </c>
      <c r="B442" s="156" t="s">
        <v>452</v>
      </c>
      <c r="C442" s="156"/>
      <c r="D442" s="156"/>
      <c r="E442" s="156"/>
      <c r="F442" s="156"/>
      <c r="G442" s="67"/>
      <c r="H442" s="67"/>
      <c r="L442" t="e">
        <f t="shared" si="27"/>
        <v>#N/A</v>
      </c>
      <c r="M442">
        <f t="shared" si="28"/>
        <v>0</v>
      </c>
      <c r="N442">
        <f t="shared" si="29"/>
        <v>0</v>
      </c>
    </row>
    <row r="443" spans="1:14" x14ac:dyDescent="0.25">
      <c r="A443" s="24" t="s">
        <v>269</v>
      </c>
      <c r="B443" s="156" t="s">
        <v>462</v>
      </c>
      <c r="C443" s="156"/>
      <c r="D443" s="156"/>
      <c r="E443" s="156"/>
      <c r="F443" s="156"/>
      <c r="G443" s="67"/>
      <c r="H443" s="67"/>
      <c r="L443" t="e">
        <f t="shared" si="27"/>
        <v>#N/A</v>
      </c>
      <c r="M443">
        <f t="shared" si="28"/>
        <v>0</v>
      </c>
      <c r="N443">
        <f t="shared" si="29"/>
        <v>0</v>
      </c>
    </row>
    <row r="444" spans="1:14" x14ac:dyDescent="0.25">
      <c r="A444" s="24" t="s">
        <v>271</v>
      </c>
      <c r="B444" s="162" t="s">
        <v>272</v>
      </c>
      <c r="C444" s="156"/>
      <c r="D444" s="156"/>
      <c r="E444" s="156"/>
      <c r="F444" s="156"/>
      <c r="G444" s="67"/>
      <c r="H444" s="67"/>
      <c r="L444" t="e">
        <f t="shared" si="27"/>
        <v>#N/A</v>
      </c>
      <c r="M444">
        <f t="shared" si="28"/>
        <v>0</v>
      </c>
      <c r="N444">
        <f t="shared" si="29"/>
        <v>0</v>
      </c>
    </row>
    <row r="445" spans="1:14" x14ac:dyDescent="0.25">
      <c r="A445" s="24" t="s">
        <v>273</v>
      </c>
      <c r="B445" s="156" t="s">
        <v>274</v>
      </c>
      <c r="C445" s="156"/>
      <c r="D445" s="156"/>
      <c r="E445" s="156"/>
      <c r="F445" s="156"/>
      <c r="G445" s="67"/>
      <c r="H445" s="67"/>
      <c r="L445" t="e">
        <f t="shared" ref="L445:L508" si="30">IF(VLOOKUP(A445,$K$3:$K$82,1,FALSE)=A445,A445)</f>
        <v>#N/A</v>
      </c>
      <c r="M445">
        <f t="shared" si="28"/>
        <v>0</v>
      </c>
      <c r="N445">
        <f t="shared" si="29"/>
        <v>0</v>
      </c>
    </row>
    <row r="446" spans="1:14" x14ac:dyDescent="0.25">
      <c r="A446" s="24" t="s">
        <v>275</v>
      </c>
      <c r="B446" s="156" t="s">
        <v>463</v>
      </c>
      <c r="C446" s="156"/>
      <c r="D446" s="156"/>
      <c r="E446" s="156"/>
      <c r="F446" s="156"/>
      <c r="G446" s="67"/>
      <c r="H446" s="67"/>
      <c r="L446" t="e">
        <f t="shared" si="30"/>
        <v>#N/A</v>
      </c>
      <c r="M446">
        <f t="shared" si="28"/>
        <v>0</v>
      </c>
      <c r="N446">
        <f t="shared" si="29"/>
        <v>0</v>
      </c>
    </row>
    <row r="447" spans="1:14" x14ac:dyDescent="0.25">
      <c r="L447" t="e">
        <f t="shared" si="30"/>
        <v>#N/A</v>
      </c>
      <c r="M447">
        <f t="shared" si="28"/>
        <v>0</v>
      </c>
      <c r="N447">
        <f t="shared" si="29"/>
        <v>0</v>
      </c>
    </row>
    <row r="448" spans="1:14" x14ac:dyDescent="0.25">
      <c r="A448" s="62" t="s">
        <v>163</v>
      </c>
      <c r="B448" s="158" t="s">
        <v>16</v>
      </c>
      <c r="C448" s="158"/>
      <c r="D448" s="158"/>
      <c r="E448" s="158"/>
      <c r="F448" s="158"/>
      <c r="G448" s="68"/>
      <c r="H448" s="68"/>
      <c r="L448" t="e">
        <f t="shared" si="30"/>
        <v>#N/A</v>
      </c>
      <c r="M448">
        <f t="shared" si="28"/>
        <v>0</v>
      </c>
      <c r="N448">
        <f t="shared" si="29"/>
        <v>0</v>
      </c>
    </row>
    <row r="449" spans="1:14" x14ac:dyDescent="0.25">
      <c r="A449" s="24" t="s">
        <v>277</v>
      </c>
      <c r="B449" s="161" t="s">
        <v>464</v>
      </c>
      <c r="C449" s="161"/>
      <c r="D449" s="161"/>
      <c r="E449" s="161"/>
      <c r="F449" s="161"/>
      <c r="G449" s="69"/>
      <c r="H449" s="69"/>
      <c r="L449" t="e">
        <f t="shared" si="30"/>
        <v>#N/A</v>
      </c>
      <c r="M449">
        <f t="shared" si="28"/>
        <v>0</v>
      </c>
      <c r="N449">
        <f t="shared" si="29"/>
        <v>0</v>
      </c>
    </row>
    <row r="450" spans="1:14" x14ac:dyDescent="0.25">
      <c r="A450" s="24" t="s">
        <v>278</v>
      </c>
      <c r="B450" s="161" t="s">
        <v>284</v>
      </c>
      <c r="C450" s="161"/>
      <c r="D450" s="161"/>
      <c r="E450" s="161"/>
      <c r="F450" s="161"/>
      <c r="G450" s="69"/>
      <c r="H450" s="69"/>
      <c r="L450" t="e">
        <f t="shared" si="30"/>
        <v>#N/A</v>
      </c>
      <c r="M450">
        <f t="shared" si="28"/>
        <v>0</v>
      </c>
      <c r="N450">
        <f t="shared" si="29"/>
        <v>0</v>
      </c>
    </row>
    <row r="451" spans="1:14" x14ac:dyDescent="0.25">
      <c r="A451" s="24" t="s">
        <v>279</v>
      </c>
      <c r="B451" s="161" t="s">
        <v>465</v>
      </c>
      <c r="C451" s="161"/>
      <c r="D451" s="161"/>
      <c r="E451" s="161"/>
      <c r="F451" s="161"/>
      <c r="G451" s="69"/>
      <c r="H451" s="69"/>
      <c r="L451" t="e">
        <f t="shared" si="30"/>
        <v>#N/A</v>
      </c>
      <c r="M451">
        <f t="shared" ref="M451:M514" si="31">IF(ISNA(L451),,G451)</f>
        <v>0</v>
      </c>
      <c r="N451">
        <f t="shared" si="29"/>
        <v>0</v>
      </c>
    </row>
    <row r="452" spans="1:14" x14ac:dyDescent="0.25">
      <c r="A452" s="24" t="s">
        <v>154</v>
      </c>
      <c r="B452" s="161" t="s">
        <v>185</v>
      </c>
      <c r="C452" s="161"/>
      <c r="D452" s="161"/>
      <c r="E452" s="161"/>
      <c r="F452" s="161"/>
      <c r="G452" s="69"/>
      <c r="H452" s="69"/>
      <c r="L452" t="e">
        <f t="shared" si="30"/>
        <v>#N/A</v>
      </c>
      <c r="M452">
        <f t="shared" si="31"/>
        <v>0</v>
      </c>
      <c r="N452">
        <f t="shared" si="29"/>
        <v>0</v>
      </c>
    </row>
    <row r="453" spans="1:14" x14ac:dyDescent="0.25">
      <c r="A453" s="24" t="s">
        <v>472</v>
      </c>
      <c r="B453" s="161" t="s">
        <v>466</v>
      </c>
      <c r="C453" s="161"/>
      <c r="D453" s="161"/>
      <c r="E453" s="161"/>
      <c r="F453" s="161"/>
      <c r="G453" s="69"/>
      <c r="H453" s="69"/>
      <c r="L453" t="e">
        <f t="shared" si="30"/>
        <v>#N/A</v>
      </c>
      <c r="M453">
        <f t="shared" si="31"/>
        <v>0</v>
      </c>
      <c r="N453">
        <f t="shared" si="29"/>
        <v>0</v>
      </c>
    </row>
    <row r="454" spans="1:14" x14ac:dyDescent="0.25">
      <c r="A454" s="24" t="s">
        <v>473</v>
      </c>
      <c r="B454" s="161" t="s">
        <v>467</v>
      </c>
      <c r="C454" s="161"/>
      <c r="D454" s="161"/>
      <c r="E454" s="161"/>
      <c r="F454" s="161"/>
      <c r="G454" s="69"/>
      <c r="H454" s="69"/>
      <c r="L454" t="e">
        <f t="shared" si="30"/>
        <v>#N/A</v>
      </c>
      <c r="M454">
        <f t="shared" si="31"/>
        <v>0</v>
      </c>
      <c r="N454">
        <f t="shared" si="29"/>
        <v>0</v>
      </c>
    </row>
    <row r="455" spans="1:14" x14ac:dyDescent="0.25">
      <c r="A455" s="24" t="s">
        <v>159</v>
      </c>
      <c r="B455" s="161" t="s">
        <v>281</v>
      </c>
      <c r="C455" s="161"/>
      <c r="D455" s="161"/>
      <c r="E455" s="161"/>
      <c r="F455" s="161"/>
      <c r="G455" s="69"/>
      <c r="H455" s="69"/>
      <c r="L455" t="e">
        <f t="shared" si="30"/>
        <v>#N/A</v>
      </c>
      <c r="M455">
        <f t="shared" si="31"/>
        <v>0</v>
      </c>
      <c r="N455">
        <f t="shared" si="29"/>
        <v>0</v>
      </c>
    </row>
    <row r="456" spans="1:14" x14ac:dyDescent="0.25">
      <c r="A456" s="24" t="s">
        <v>603</v>
      </c>
      <c r="B456" s="161" t="s">
        <v>298</v>
      </c>
      <c r="C456" s="161"/>
      <c r="D456" s="161"/>
      <c r="E456" s="161"/>
      <c r="F456" s="161"/>
      <c r="G456" s="69"/>
      <c r="H456" s="69"/>
      <c r="L456" t="e">
        <f t="shared" si="30"/>
        <v>#N/A</v>
      </c>
      <c r="M456">
        <f t="shared" si="31"/>
        <v>0</v>
      </c>
      <c r="N456">
        <f t="shared" si="29"/>
        <v>0</v>
      </c>
    </row>
    <row r="457" spans="1:14" x14ac:dyDescent="0.25">
      <c r="A457" s="24" t="s">
        <v>299</v>
      </c>
      <c r="B457" s="161" t="s">
        <v>468</v>
      </c>
      <c r="C457" s="161"/>
      <c r="D457" s="161"/>
      <c r="E457" s="161"/>
      <c r="F457" s="161"/>
      <c r="G457" s="69"/>
      <c r="H457" s="69"/>
      <c r="L457" t="e">
        <f t="shared" si="30"/>
        <v>#N/A</v>
      </c>
      <c r="M457">
        <f t="shared" si="31"/>
        <v>0</v>
      </c>
      <c r="N457">
        <f t="shared" si="29"/>
        <v>0</v>
      </c>
    </row>
    <row r="458" spans="1:14" x14ac:dyDescent="0.25">
      <c r="L458" t="e">
        <f t="shared" si="30"/>
        <v>#N/A</v>
      </c>
      <c r="M458">
        <f t="shared" si="31"/>
        <v>0</v>
      </c>
      <c r="N458">
        <f t="shared" si="29"/>
        <v>0</v>
      </c>
    </row>
    <row r="459" spans="1:14" x14ac:dyDescent="0.25">
      <c r="L459" t="e">
        <f t="shared" si="30"/>
        <v>#N/A</v>
      </c>
      <c r="M459">
        <f t="shared" si="31"/>
        <v>0</v>
      </c>
      <c r="N459">
        <f t="shared" si="29"/>
        <v>0</v>
      </c>
    </row>
    <row r="460" spans="1:14" x14ac:dyDescent="0.25">
      <c r="A460" s="159" t="s">
        <v>19</v>
      </c>
      <c r="B460" s="159"/>
      <c r="C460" s="159"/>
      <c r="D460" s="159"/>
      <c r="E460" s="159"/>
      <c r="F460" s="159"/>
      <c r="G460" s="65"/>
      <c r="H460" s="65"/>
      <c r="L460" t="e">
        <f t="shared" si="30"/>
        <v>#N/A</v>
      </c>
      <c r="M460">
        <f t="shared" si="31"/>
        <v>0</v>
      </c>
      <c r="N460">
        <f t="shared" ref="N460:N523" si="32">IF(ISNA(L460),,H460)</f>
        <v>0</v>
      </c>
    </row>
    <row r="461" spans="1:14" x14ac:dyDescent="0.25">
      <c r="A461" s="62" t="s">
        <v>15</v>
      </c>
      <c r="B461" s="157" t="s">
        <v>14</v>
      </c>
      <c r="C461" s="157"/>
      <c r="D461" s="157"/>
      <c r="E461" s="157"/>
      <c r="F461" s="157"/>
      <c r="G461" s="62" t="s">
        <v>15</v>
      </c>
      <c r="H461" s="62" t="s">
        <v>16</v>
      </c>
      <c r="L461" t="e">
        <f t="shared" si="30"/>
        <v>#N/A</v>
      </c>
      <c r="M461">
        <f t="shared" si="31"/>
        <v>0</v>
      </c>
      <c r="N461">
        <f t="shared" si="32"/>
        <v>0</v>
      </c>
    </row>
    <row r="462" spans="1:14" x14ac:dyDescent="0.25">
      <c r="A462" t="s">
        <v>453</v>
      </c>
      <c r="B462" s="160" t="e">
        <f>VLOOKUP(A462,RN_BN!$A$3:$D$193,2,FALSE)</f>
        <v>#N/A</v>
      </c>
      <c r="C462" s="160"/>
      <c r="D462" s="160"/>
      <c r="E462" s="160"/>
      <c r="F462" s="160"/>
      <c r="G462" t="e">
        <f>A466</f>
        <v>#N/A</v>
      </c>
      <c r="H462" t="s">
        <v>469</v>
      </c>
      <c r="L462" t="str">
        <f t="shared" si="30"/>
        <v>Pe_02_02</v>
      </c>
      <c r="M462" t="e">
        <f t="shared" si="31"/>
        <v>#N/A</v>
      </c>
      <c r="N462" t="str">
        <f t="shared" si="32"/>
        <v>Listado de órdenes de compra</v>
      </c>
    </row>
    <row r="463" spans="1:14" x14ac:dyDescent="0.25">
      <c r="L463" t="e">
        <f t="shared" si="30"/>
        <v>#N/A</v>
      </c>
      <c r="M463">
        <f t="shared" si="31"/>
        <v>0</v>
      </c>
      <c r="N463">
        <f t="shared" si="32"/>
        <v>0</v>
      </c>
    </row>
    <row r="464" spans="1:14" x14ac:dyDescent="0.25">
      <c r="A464" s="157" t="s">
        <v>143</v>
      </c>
      <c r="B464" s="157"/>
      <c r="C464" s="157" t="s">
        <v>18</v>
      </c>
      <c r="D464" s="157"/>
      <c r="E464" s="157"/>
      <c r="F464" s="157"/>
      <c r="G464" s="63"/>
      <c r="H464" s="63"/>
      <c r="L464" t="e">
        <f t="shared" si="30"/>
        <v>#N/A</v>
      </c>
      <c r="M464">
        <f t="shared" si="31"/>
        <v>0</v>
      </c>
      <c r="N464">
        <f t="shared" si="32"/>
        <v>0</v>
      </c>
    </row>
    <row r="465" spans="1:14" x14ac:dyDescent="0.25">
      <c r="A465" s="62" t="s">
        <v>15</v>
      </c>
      <c r="B465" s="62" t="s">
        <v>16</v>
      </c>
      <c r="C465" s="62" t="s">
        <v>15</v>
      </c>
      <c r="D465" s="62" t="s">
        <v>14</v>
      </c>
      <c r="E465" s="62" t="s">
        <v>8</v>
      </c>
      <c r="F465" s="62" t="s">
        <v>142</v>
      </c>
      <c r="G465" s="62"/>
      <c r="H465" s="62"/>
      <c r="L465" t="e">
        <f t="shared" si="30"/>
        <v>#N/A</v>
      </c>
      <c r="M465">
        <f t="shared" si="31"/>
        <v>0</v>
      </c>
      <c r="N465">
        <f t="shared" si="32"/>
        <v>0</v>
      </c>
    </row>
    <row r="466" spans="1:14" x14ac:dyDescent="0.25">
      <c r="A466" t="e">
        <f>CONCATENATE("UI","_",F466,"_",C466)</f>
        <v>#N/A</v>
      </c>
      <c r="B466" t="s">
        <v>469</v>
      </c>
      <c r="C466" t="e">
        <f>VLOOKUP(A462,RN_BN!$A$3:$D$193,3,FALSE)</f>
        <v>#N/A</v>
      </c>
      <c r="D466" t="e">
        <f>VLOOKUP(A462,RN_BN!$A$3:$D$193,4,FALSE)</f>
        <v>#N/A</v>
      </c>
      <c r="E466" t="e">
        <f>VLOOKUP(C466,RN_BN!$C$3:$F$193,4,FALSE)</f>
        <v>#N/A</v>
      </c>
      <c r="F466" s="22" t="s">
        <v>48</v>
      </c>
      <c r="G466" s="22"/>
      <c r="H466" s="22"/>
      <c r="L466" t="e">
        <f t="shared" si="30"/>
        <v>#N/A</v>
      </c>
      <c r="M466">
        <f t="shared" si="31"/>
        <v>0</v>
      </c>
      <c r="N466">
        <f t="shared" si="32"/>
        <v>0</v>
      </c>
    </row>
    <row r="467" spans="1:14" x14ac:dyDescent="0.25">
      <c r="L467" t="e">
        <f t="shared" si="30"/>
        <v>#N/A</v>
      </c>
      <c r="M467">
        <f t="shared" si="31"/>
        <v>0</v>
      </c>
      <c r="N467">
        <f t="shared" si="32"/>
        <v>0</v>
      </c>
    </row>
    <row r="468" spans="1:14" x14ac:dyDescent="0.25">
      <c r="A468" s="62" t="s">
        <v>162</v>
      </c>
      <c r="B468" s="158" t="s">
        <v>16</v>
      </c>
      <c r="C468" s="158"/>
      <c r="D468" s="158"/>
      <c r="E468" s="158"/>
      <c r="F468" s="158"/>
      <c r="G468" s="68"/>
      <c r="H468" s="68"/>
      <c r="L468" t="e">
        <f t="shared" si="30"/>
        <v>#N/A</v>
      </c>
      <c r="M468">
        <f t="shared" si="31"/>
        <v>0</v>
      </c>
      <c r="N468">
        <f t="shared" si="32"/>
        <v>0</v>
      </c>
    </row>
    <row r="469" spans="1:14" x14ac:dyDescent="0.25">
      <c r="A469" s="24" t="s">
        <v>288</v>
      </c>
      <c r="B469" s="156" t="s">
        <v>290</v>
      </c>
      <c r="C469" s="156"/>
      <c r="D469" s="156"/>
      <c r="E469" s="156"/>
      <c r="F469" s="156"/>
      <c r="G469" s="67"/>
      <c r="H469" s="67"/>
      <c r="L469" t="e">
        <f t="shared" si="30"/>
        <v>#N/A</v>
      </c>
      <c r="M469">
        <f t="shared" si="31"/>
        <v>0</v>
      </c>
      <c r="N469">
        <f t="shared" si="32"/>
        <v>0</v>
      </c>
    </row>
    <row r="470" spans="1:14" x14ac:dyDescent="0.25">
      <c r="A470" s="24" t="s">
        <v>95</v>
      </c>
      <c r="B470" s="156" t="s">
        <v>291</v>
      </c>
      <c r="C470" s="156"/>
      <c r="D470" s="156"/>
      <c r="E470" s="156"/>
      <c r="F470" s="156"/>
      <c r="G470" s="67"/>
      <c r="H470" s="67"/>
      <c r="L470" t="e">
        <f t="shared" si="30"/>
        <v>#N/A</v>
      </c>
      <c r="M470">
        <f t="shared" si="31"/>
        <v>0</v>
      </c>
      <c r="N470">
        <f t="shared" si="32"/>
        <v>0</v>
      </c>
    </row>
    <row r="471" spans="1:14" x14ac:dyDescent="0.25">
      <c r="A471" s="24" t="s">
        <v>96</v>
      </c>
      <c r="B471" s="156" t="s">
        <v>292</v>
      </c>
      <c r="C471" s="156"/>
      <c r="D471" s="156"/>
      <c r="E471" s="156"/>
      <c r="F471" s="156"/>
      <c r="G471" s="67"/>
      <c r="H471" s="67"/>
      <c r="L471" t="e">
        <f t="shared" si="30"/>
        <v>#N/A</v>
      </c>
      <c r="M471">
        <f t="shared" si="31"/>
        <v>0</v>
      </c>
      <c r="N471">
        <f t="shared" si="32"/>
        <v>0</v>
      </c>
    </row>
    <row r="472" spans="1:14" x14ac:dyDescent="0.25">
      <c r="A472" s="24" t="s">
        <v>289</v>
      </c>
      <c r="B472" s="156" t="s">
        <v>293</v>
      </c>
      <c r="C472" s="156"/>
      <c r="D472" s="156"/>
      <c r="E472" s="156"/>
      <c r="F472" s="156"/>
      <c r="G472" s="67"/>
      <c r="H472" s="67"/>
      <c r="L472" t="e">
        <f t="shared" si="30"/>
        <v>#N/A</v>
      </c>
      <c r="M472">
        <f t="shared" si="31"/>
        <v>0</v>
      </c>
      <c r="N472">
        <f t="shared" si="32"/>
        <v>0</v>
      </c>
    </row>
    <row r="473" spans="1:14" x14ac:dyDescent="0.25">
      <c r="A473" s="24" t="s">
        <v>470</v>
      </c>
      <c r="B473" s="156" t="s">
        <v>471</v>
      </c>
      <c r="C473" s="156"/>
      <c r="D473" s="156"/>
      <c r="E473" s="156"/>
      <c r="F473" s="156"/>
      <c r="G473" s="67"/>
      <c r="H473" s="67"/>
      <c r="L473" t="e">
        <f t="shared" si="30"/>
        <v>#N/A</v>
      </c>
      <c r="M473">
        <f t="shared" si="31"/>
        <v>0</v>
      </c>
      <c r="N473">
        <f t="shared" si="32"/>
        <v>0</v>
      </c>
    </row>
    <row r="474" spans="1:14" x14ac:dyDescent="0.25">
      <c r="A474" s="24" t="s">
        <v>90</v>
      </c>
      <c r="B474" s="156" t="s">
        <v>294</v>
      </c>
      <c r="C474" s="156"/>
      <c r="D474" s="156"/>
      <c r="E474" s="156"/>
      <c r="F474" s="156"/>
      <c r="G474" s="67"/>
      <c r="H474" s="67"/>
      <c r="L474" t="e">
        <f t="shared" si="30"/>
        <v>#N/A</v>
      </c>
      <c r="M474">
        <f t="shared" si="31"/>
        <v>0</v>
      </c>
      <c r="N474">
        <f t="shared" si="32"/>
        <v>0</v>
      </c>
    </row>
    <row r="475" spans="1:14" x14ac:dyDescent="0.25">
      <c r="A475" s="24" t="s">
        <v>460</v>
      </c>
      <c r="B475" s="156" t="s">
        <v>461</v>
      </c>
      <c r="C475" s="156"/>
      <c r="D475" s="156"/>
      <c r="E475" s="156"/>
      <c r="F475" s="156"/>
      <c r="G475" s="67"/>
      <c r="H475" s="67"/>
      <c r="L475" t="e">
        <f t="shared" si="30"/>
        <v>#N/A</v>
      </c>
      <c r="M475">
        <f t="shared" si="31"/>
        <v>0</v>
      </c>
      <c r="N475">
        <f t="shared" si="32"/>
        <v>0</v>
      </c>
    </row>
    <row r="476" spans="1:14" x14ac:dyDescent="0.25">
      <c r="A476" s="24" t="s">
        <v>451</v>
      </c>
      <c r="B476" s="156" t="s">
        <v>452</v>
      </c>
      <c r="C476" s="156"/>
      <c r="D476" s="156"/>
      <c r="E476" s="156"/>
      <c r="F476" s="156"/>
      <c r="G476" s="67"/>
      <c r="H476" s="67"/>
      <c r="L476" t="e">
        <f t="shared" si="30"/>
        <v>#N/A</v>
      </c>
      <c r="M476">
        <f t="shared" si="31"/>
        <v>0</v>
      </c>
      <c r="N476">
        <f t="shared" si="32"/>
        <v>0</v>
      </c>
    </row>
    <row r="477" spans="1:14" x14ac:dyDescent="0.25">
      <c r="A477" s="24" t="s">
        <v>235</v>
      </c>
      <c r="B477" s="156" t="s">
        <v>246</v>
      </c>
      <c r="C477" s="156"/>
      <c r="D477" s="156"/>
      <c r="E477" s="156"/>
      <c r="F477" s="156"/>
      <c r="G477" s="67"/>
      <c r="H477" s="67"/>
      <c r="L477" t="e">
        <f t="shared" si="30"/>
        <v>#N/A</v>
      </c>
      <c r="M477">
        <f t="shared" si="31"/>
        <v>0</v>
      </c>
      <c r="N477">
        <f t="shared" si="32"/>
        <v>0</v>
      </c>
    </row>
    <row r="478" spans="1:14" x14ac:dyDescent="0.25">
      <c r="A478" s="24" t="s">
        <v>269</v>
      </c>
      <c r="B478" s="156" t="s">
        <v>462</v>
      </c>
      <c r="C478" s="156"/>
      <c r="D478" s="156"/>
      <c r="E478" s="156"/>
      <c r="F478" s="156"/>
      <c r="G478" s="67"/>
      <c r="H478" s="67"/>
      <c r="L478" t="e">
        <f t="shared" si="30"/>
        <v>#N/A</v>
      </c>
      <c r="M478">
        <f t="shared" si="31"/>
        <v>0</v>
      </c>
      <c r="N478">
        <f t="shared" si="32"/>
        <v>0</v>
      </c>
    </row>
    <row r="479" spans="1:14" x14ac:dyDescent="0.25">
      <c r="A479" s="24" t="s">
        <v>271</v>
      </c>
      <c r="B479" s="162" t="s">
        <v>272</v>
      </c>
      <c r="C479" s="156"/>
      <c r="D479" s="156"/>
      <c r="E479" s="156"/>
      <c r="F479" s="156"/>
      <c r="G479" s="67"/>
      <c r="H479" s="67"/>
      <c r="L479" t="e">
        <f t="shared" si="30"/>
        <v>#N/A</v>
      </c>
      <c r="M479">
        <f t="shared" si="31"/>
        <v>0</v>
      </c>
      <c r="N479">
        <f t="shared" si="32"/>
        <v>0</v>
      </c>
    </row>
    <row r="480" spans="1:14" x14ac:dyDescent="0.25">
      <c r="L480" t="e">
        <f t="shared" si="30"/>
        <v>#N/A</v>
      </c>
      <c r="M480">
        <f t="shared" si="31"/>
        <v>0</v>
      </c>
      <c r="N480">
        <f t="shared" si="32"/>
        <v>0</v>
      </c>
    </row>
    <row r="481" spans="1:14" x14ac:dyDescent="0.25">
      <c r="A481" s="62" t="s">
        <v>163</v>
      </c>
      <c r="B481" s="158" t="s">
        <v>16</v>
      </c>
      <c r="C481" s="158"/>
      <c r="D481" s="158"/>
      <c r="E481" s="158"/>
      <c r="F481" s="158"/>
      <c r="G481" s="68"/>
      <c r="H481" s="68"/>
      <c r="L481" t="e">
        <f t="shared" si="30"/>
        <v>#N/A</v>
      </c>
      <c r="M481">
        <f t="shared" si="31"/>
        <v>0</v>
      </c>
      <c r="N481">
        <f t="shared" si="32"/>
        <v>0</v>
      </c>
    </row>
    <row r="482" spans="1:14" x14ac:dyDescent="0.25">
      <c r="A482" s="24" t="s">
        <v>295</v>
      </c>
      <c r="B482" s="161" t="str">
        <f>"Redirecciona la acción a la pantalla " &amp;A426&amp; ", asociando la categoría que corresponda"</f>
        <v>Redirecciona la acción a la pantalla Pe_02_04, asociando la categoría que corresponda</v>
      </c>
      <c r="C482" s="161"/>
      <c r="D482" s="161"/>
      <c r="E482" s="161"/>
      <c r="F482" s="161"/>
      <c r="G482" s="69"/>
      <c r="H482" s="69"/>
      <c r="L482" t="e">
        <f t="shared" si="30"/>
        <v>#N/A</v>
      </c>
      <c r="M482">
        <f t="shared" si="31"/>
        <v>0</v>
      </c>
      <c r="N482">
        <f t="shared" si="32"/>
        <v>0</v>
      </c>
    </row>
    <row r="483" spans="1:14" x14ac:dyDescent="0.25">
      <c r="A483" s="24" t="s">
        <v>296</v>
      </c>
      <c r="B483" s="161" t="s">
        <v>297</v>
      </c>
      <c r="C483" s="161"/>
      <c r="D483" s="161"/>
      <c r="E483" s="161"/>
      <c r="F483" s="161"/>
      <c r="G483" s="69"/>
      <c r="H483" s="69"/>
      <c r="L483" t="e">
        <f t="shared" si="30"/>
        <v>#N/A</v>
      </c>
      <c r="M483">
        <f t="shared" si="31"/>
        <v>0</v>
      </c>
      <c r="N483">
        <f t="shared" si="32"/>
        <v>0</v>
      </c>
    </row>
    <row r="484" spans="1:14" x14ac:dyDescent="0.25">
      <c r="A484" s="24" t="s">
        <v>611</v>
      </c>
      <c r="B484" s="161" t="s">
        <v>469</v>
      </c>
      <c r="C484" s="161"/>
      <c r="D484" s="161"/>
      <c r="E484" s="161"/>
      <c r="F484" s="161"/>
      <c r="G484" s="69"/>
      <c r="H484" s="69"/>
      <c r="L484" t="e">
        <f t="shared" si="30"/>
        <v>#N/A</v>
      </c>
      <c r="M484">
        <f t="shared" si="31"/>
        <v>0</v>
      </c>
      <c r="N484">
        <f t="shared" si="32"/>
        <v>0</v>
      </c>
    </row>
    <row r="485" spans="1:14" x14ac:dyDescent="0.25">
      <c r="L485" t="e">
        <f t="shared" si="30"/>
        <v>#N/A</v>
      </c>
      <c r="M485">
        <f t="shared" si="31"/>
        <v>0</v>
      </c>
      <c r="N485">
        <f t="shared" si="32"/>
        <v>0</v>
      </c>
    </row>
    <row r="486" spans="1:14" x14ac:dyDescent="0.25">
      <c r="L486" t="e">
        <f t="shared" si="30"/>
        <v>#N/A</v>
      </c>
      <c r="M486">
        <f t="shared" si="31"/>
        <v>0</v>
      </c>
      <c r="N486">
        <f t="shared" si="32"/>
        <v>0</v>
      </c>
    </row>
    <row r="487" spans="1:14" x14ac:dyDescent="0.25">
      <c r="A487" s="159" t="s">
        <v>19</v>
      </c>
      <c r="B487" s="159"/>
      <c r="C487" s="159"/>
      <c r="D487" s="159"/>
      <c r="E487" s="159"/>
      <c r="F487" s="159"/>
      <c r="G487" s="65"/>
      <c r="H487" s="65"/>
      <c r="L487" t="e">
        <f t="shared" si="30"/>
        <v>#N/A</v>
      </c>
      <c r="M487">
        <f t="shared" si="31"/>
        <v>0</v>
      </c>
      <c r="N487">
        <f t="shared" si="32"/>
        <v>0</v>
      </c>
    </row>
    <row r="488" spans="1:14" x14ac:dyDescent="0.25">
      <c r="A488" s="62" t="s">
        <v>15</v>
      </c>
      <c r="B488" s="157" t="s">
        <v>14</v>
      </c>
      <c r="C488" s="157"/>
      <c r="D488" s="157"/>
      <c r="E488" s="157"/>
      <c r="F488" s="157"/>
      <c r="G488" s="62" t="s">
        <v>15</v>
      </c>
      <c r="H488" s="62" t="s">
        <v>16</v>
      </c>
      <c r="L488" t="e">
        <f t="shared" si="30"/>
        <v>#N/A</v>
      </c>
      <c r="M488">
        <f t="shared" si="31"/>
        <v>0</v>
      </c>
      <c r="N488">
        <f t="shared" si="32"/>
        <v>0</v>
      </c>
    </row>
    <row r="489" spans="1:14" x14ac:dyDescent="0.25">
      <c r="A489" t="s">
        <v>482</v>
      </c>
      <c r="B489" s="160" t="e">
        <f>VLOOKUP(A489,RN_BN!$A$3:$D$193,2,FALSE)</f>
        <v>#N/A</v>
      </c>
      <c r="C489" s="160"/>
      <c r="D489" s="160"/>
      <c r="E489" s="160"/>
      <c r="F489" s="160"/>
      <c r="G489" t="e">
        <f>A493</f>
        <v>#N/A</v>
      </c>
      <c r="H489" t="s">
        <v>483</v>
      </c>
      <c r="L489" t="str">
        <f t="shared" si="30"/>
        <v>Re_01_01</v>
      </c>
      <c r="M489" t="e">
        <f t="shared" si="31"/>
        <v>#N/A</v>
      </c>
      <c r="N489" t="str">
        <f t="shared" si="32"/>
        <v>Listado de órdenes de recepción</v>
      </c>
    </row>
    <row r="490" spans="1:14" x14ac:dyDescent="0.25">
      <c r="L490" t="e">
        <f t="shared" si="30"/>
        <v>#N/A</v>
      </c>
      <c r="M490">
        <f t="shared" si="31"/>
        <v>0</v>
      </c>
      <c r="N490">
        <f t="shared" si="32"/>
        <v>0</v>
      </c>
    </row>
    <row r="491" spans="1:14" x14ac:dyDescent="0.25">
      <c r="A491" s="157" t="s">
        <v>143</v>
      </c>
      <c r="B491" s="157"/>
      <c r="C491" s="157" t="s">
        <v>18</v>
      </c>
      <c r="D491" s="157"/>
      <c r="E491" s="157"/>
      <c r="F491" s="157"/>
      <c r="G491" s="63"/>
      <c r="H491" s="63"/>
      <c r="L491" t="e">
        <f t="shared" si="30"/>
        <v>#N/A</v>
      </c>
      <c r="M491">
        <f t="shared" si="31"/>
        <v>0</v>
      </c>
      <c r="N491">
        <f t="shared" si="32"/>
        <v>0</v>
      </c>
    </row>
    <row r="492" spans="1:14" x14ac:dyDescent="0.25">
      <c r="A492" s="62" t="s">
        <v>15</v>
      </c>
      <c r="B492" s="62" t="s">
        <v>16</v>
      </c>
      <c r="C492" s="62" t="s">
        <v>15</v>
      </c>
      <c r="D492" s="62" t="s">
        <v>14</v>
      </c>
      <c r="E492" s="62" t="s">
        <v>8</v>
      </c>
      <c r="F492" s="62" t="s">
        <v>142</v>
      </c>
      <c r="G492" s="62"/>
      <c r="H492" s="62"/>
      <c r="L492" t="e">
        <f t="shared" si="30"/>
        <v>#N/A</v>
      </c>
      <c r="M492">
        <f t="shared" si="31"/>
        <v>0</v>
      </c>
      <c r="N492">
        <f t="shared" si="32"/>
        <v>0</v>
      </c>
    </row>
    <row r="493" spans="1:14" x14ac:dyDescent="0.25">
      <c r="A493" t="e">
        <f>CONCATENATE("UI","_",F493,"_",C493)</f>
        <v>#N/A</v>
      </c>
      <c r="B493" t="s">
        <v>483</v>
      </c>
      <c r="C493" t="e">
        <f>VLOOKUP(A489,RN_BN!$A$3:$D$193,3,FALSE)</f>
        <v>#N/A</v>
      </c>
      <c r="D493" t="e">
        <f>VLOOKUP(A489,RN_BN!$A$3:$D$193,4,FALSE)</f>
        <v>#N/A</v>
      </c>
      <c r="E493" t="e">
        <f>VLOOKUP(C493,RN_BN!$C$3:$F$193,4,FALSE)</f>
        <v>#N/A</v>
      </c>
      <c r="F493" s="22" t="s">
        <v>47</v>
      </c>
      <c r="G493" s="22"/>
      <c r="H493" s="22"/>
      <c r="L493" t="e">
        <f t="shared" si="30"/>
        <v>#N/A</v>
      </c>
      <c r="M493">
        <f t="shared" si="31"/>
        <v>0</v>
      </c>
      <c r="N493">
        <f t="shared" si="32"/>
        <v>0</v>
      </c>
    </row>
    <row r="494" spans="1:14" x14ac:dyDescent="0.25">
      <c r="L494" t="e">
        <f t="shared" si="30"/>
        <v>#N/A</v>
      </c>
      <c r="M494">
        <f t="shared" si="31"/>
        <v>0</v>
      </c>
      <c r="N494">
        <f t="shared" si="32"/>
        <v>0</v>
      </c>
    </row>
    <row r="495" spans="1:14" x14ac:dyDescent="0.25">
      <c r="A495" s="62" t="s">
        <v>162</v>
      </c>
      <c r="B495" s="158" t="s">
        <v>16</v>
      </c>
      <c r="C495" s="158"/>
      <c r="D495" s="158"/>
      <c r="E495" s="158"/>
      <c r="F495" s="158"/>
      <c r="G495" s="68"/>
      <c r="H495" s="68"/>
      <c r="L495" t="e">
        <f t="shared" si="30"/>
        <v>#N/A</v>
      </c>
      <c r="M495">
        <f t="shared" si="31"/>
        <v>0</v>
      </c>
      <c r="N495">
        <f t="shared" si="32"/>
        <v>0</v>
      </c>
    </row>
    <row r="496" spans="1:14" x14ac:dyDescent="0.25">
      <c r="A496" s="24" t="s">
        <v>460</v>
      </c>
      <c r="B496" s="156" t="s">
        <v>486</v>
      </c>
      <c r="C496" s="156"/>
      <c r="D496" s="156"/>
      <c r="E496" s="156"/>
      <c r="F496" s="156"/>
      <c r="G496" s="67"/>
      <c r="H496" s="67"/>
      <c r="L496" t="e">
        <f t="shared" si="30"/>
        <v>#N/A</v>
      </c>
      <c r="M496">
        <f t="shared" si="31"/>
        <v>0</v>
      </c>
      <c r="N496">
        <f t="shared" si="32"/>
        <v>0</v>
      </c>
    </row>
    <row r="497" spans="1:14" x14ac:dyDescent="0.25">
      <c r="A497" s="24" t="s">
        <v>560</v>
      </c>
      <c r="B497" s="156" t="s">
        <v>487</v>
      </c>
      <c r="C497" s="156"/>
      <c r="D497" s="156"/>
      <c r="E497" s="156"/>
      <c r="F497" s="156"/>
      <c r="G497" s="67"/>
      <c r="H497" s="67"/>
      <c r="L497" t="e">
        <f t="shared" si="30"/>
        <v>#N/A</v>
      </c>
      <c r="M497">
        <f t="shared" si="31"/>
        <v>0</v>
      </c>
      <c r="N497">
        <f t="shared" si="32"/>
        <v>0</v>
      </c>
    </row>
    <row r="498" spans="1:14" x14ac:dyDescent="0.25">
      <c r="A498" s="24" t="s">
        <v>561</v>
      </c>
      <c r="B498" s="156" t="s">
        <v>491</v>
      </c>
      <c r="C498" s="156"/>
      <c r="D498" s="156"/>
      <c r="E498" s="156"/>
      <c r="F498" s="156"/>
      <c r="G498" s="67"/>
      <c r="H498" s="67"/>
      <c r="L498" t="e">
        <f t="shared" si="30"/>
        <v>#N/A</v>
      </c>
      <c r="M498">
        <f t="shared" si="31"/>
        <v>0</v>
      </c>
      <c r="N498">
        <f t="shared" si="32"/>
        <v>0</v>
      </c>
    </row>
    <row r="499" spans="1:14" x14ac:dyDescent="0.25">
      <c r="A499" s="24" t="s">
        <v>562</v>
      </c>
      <c r="B499" s="156" t="s">
        <v>564</v>
      </c>
      <c r="C499" s="156"/>
      <c r="D499" s="156"/>
      <c r="E499" s="156"/>
      <c r="F499" s="156"/>
      <c r="G499" s="67"/>
      <c r="H499" s="67"/>
      <c r="L499" t="e">
        <f t="shared" si="30"/>
        <v>#N/A</v>
      </c>
      <c r="M499">
        <f t="shared" si="31"/>
        <v>0</v>
      </c>
      <c r="N499">
        <f t="shared" si="32"/>
        <v>0</v>
      </c>
    </row>
    <row r="500" spans="1:14" x14ac:dyDescent="0.25">
      <c r="A500" s="24" t="s">
        <v>563</v>
      </c>
      <c r="B500" s="156" t="s">
        <v>565</v>
      </c>
      <c r="C500" s="156"/>
      <c r="D500" s="156"/>
      <c r="E500" s="156"/>
      <c r="F500" s="156"/>
      <c r="G500" s="67"/>
      <c r="H500" s="67"/>
      <c r="L500" t="e">
        <f t="shared" si="30"/>
        <v>#N/A</v>
      </c>
      <c r="M500">
        <f t="shared" si="31"/>
        <v>0</v>
      </c>
      <c r="N500">
        <f t="shared" si="32"/>
        <v>0</v>
      </c>
    </row>
    <row r="501" spans="1:14" x14ac:dyDescent="0.25">
      <c r="A501" s="24" t="s">
        <v>484</v>
      </c>
      <c r="B501" s="156" t="s">
        <v>488</v>
      </c>
      <c r="C501" s="156"/>
      <c r="D501" s="156"/>
      <c r="E501" s="156"/>
      <c r="F501" s="156"/>
      <c r="G501" s="67"/>
      <c r="H501" s="67"/>
      <c r="L501" t="e">
        <f t="shared" si="30"/>
        <v>#N/A</v>
      </c>
      <c r="M501">
        <f t="shared" si="31"/>
        <v>0</v>
      </c>
      <c r="N501">
        <f t="shared" si="32"/>
        <v>0</v>
      </c>
    </row>
    <row r="502" spans="1:14" x14ac:dyDescent="0.25">
      <c r="A502" s="24" t="s">
        <v>95</v>
      </c>
      <c r="B502" s="156" t="s">
        <v>489</v>
      </c>
      <c r="C502" s="156"/>
      <c r="D502" s="156"/>
      <c r="E502" s="156"/>
      <c r="F502" s="156"/>
      <c r="G502" s="67"/>
      <c r="H502" s="67"/>
      <c r="L502" t="e">
        <f t="shared" si="30"/>
        <v>#N/A</v>
      </c>
      <c r="M502">
        <f t="shared" si="31"/>
        <v>0</v>
      </c>
      <c r="N502">
        <f t="shared" si="32"/>
        <v>0</v>
      </c>
    </row>
    <row r="503" spans="1:14" x14ac:dyDescent="0.25">
      <c r="A503" s="24" t="s">
        <v>96</v>
      </c>
      <c r="B503" s="156" t="s">
        <v>490</v>
      </c>
      <c r="C503" s="156"/>
      <c r="D503" s="156"/>
      <c r="E503" s="156"/>
      <c r="F503" s="156"/>
      <c r="G503" s="67"/>
      <c r="H503" s="67"/>
      <c r="L503" t="e">
        <f t="shared" si="30"/>
        <v>#N/A</v>
      </c>
      <c r="M503">
        <f t="shared" si="31"/>
        <v>0</v>
      </c>
      <c r="N503">
        <f t="shared" si="32"/>
        <v>0</v>
      </c>
    </row>
    <row r="504" spans="1:14" x14ac:dyDescent="0.25">
      <c r="A504" s="24" t="s">
        <v>566</v>
      </c>
      <c r="B504" s="156" t="s">
        <v>568</v>
      </c>
      <c r="C504" s="156"/>
      <c r="D504" s="156"/>
      <c r="E504" s="156"/>
      <c r="F504" s="156"/>
      <c r="G504" s="67"/>
      <c r="H504" s="67"/>
      <c r="L504" t="e">
        <f t="shared" si="30"/>
        <v>#N/A</v>
      </c>
      <c r="M504">
        <f t="shared" si="31"/>
        <v>0</v>
      </c>
      <c r="N504">
        <f t="shared" si="32"/>
        <v>0</v>
      </c>
    </row>
    <row r="505" spans="1:14" x14ac:dyDescent="0.25">
      <c r="A505" s="24" t="s">
        <v>567</v>
      </c>
      <c r="B505" s="156" t="s">
        <v>569</v>
      </c>
      <c r="C505" s="156"/>
      <c r="D505" s="156"/>
      <c r="E505" s="156"/>
      <c r="F505" s="156"/>
      <c r="G505" s="67"/>
      <c r="H505" s="67"/>
      <c r="L505" t="e">
        <f t="shared" si="30"/>
        <v>#N/A</v>
      </c>
      <c r="M505">
        <f t="shared" si="31"/>
        <v>0</v>
      </c>
      <c r="N505">
        <f t="shared" si="32"/>
        <v>0</v>
      </c>
    </row>
    <row r="506" spans="1:14" x14ac:dyDescent="0.25">
      <c r="A506" s="24" t="s">
        <v>90</v>
      </c>
      <c r="B506" s="156" t="s">
        <v>492</v>
      </c>
      <c r="C506" s="156"/>
      <c r="D506" s="156"/>
      <c r="E506" s="156"/>
      <c r="F506" s="156"/>
      <c r="G506" s="67"/>
      <c r="H506" s="67"/>
      <c r="L506" t="e">
        <f t="shared" si="30"/>
        <v>#N/A</v>
      </c>
      <c r="M506">
        <f t="shared" si="31"/>
        <v>0</v>
      </c>
      <c r="N506">
        <f t="shared" si="32"/>
        <v>0</v>
      </c>
    </row>
    <row r="507" spans="1:14" x14ac:dyDescent="0.25">
      <c r="L507" t="e">
        <f t="shared" si="30"/>
        <v>#N/A</v>
      </c>
      <c r="M507">
        <f t="shared" si="31"/>
        <v>0</v>
      </c>
      <c r="N507">
        <f t="shared" si="32"/>
        <v>0</v>
      </c>
    </row>
    <row r="508" spans="1:14" x14ac:dyDescent="0.25">
      <c r="A508" s="62" t="s">
        <v>163</v>
      </c>
      <c r="B508" s="158" t="s">
        <v>16</v>
      </c>
      <c r="C508" s="158"/>
      <c r="D508" s="158"/>
      <c r="E508" s="158"/>
      <c r="F508" s="158"/>
      <c r="G508" s="68"/>
      <c r="H508" s="68"/>
      <c r="L508" t="e">
        <f t="shared" si="30"/>
        <v>#N/A</v>
      </c>
      <c r="M508">
        <f t="shared" si="31"/>
        <v>0</v>
      </c>
      <c r="N508">
        <f t="shared" si="32"/>
        <v>0</v>
      </c>
    </row>
    <row r="509" spans="1:14" x14ac:dyDescent="0.25">
      <c r="A509" s="24" t="s">
        <v>485</v>
      </c>
      <c r="B509" s="161" t="s">
        <v>493</v>
      </c>
      <c r="C509" s="161"/>
      <c r="D509" s="161"/>
      <c r="E509" s="161"/>
      <c r="F509" s="161"/>
      <c r="G509" s="69"/>
      <c r="H509" s="69"/>
      <c r="L509" t="e">
        <f t="shared" ref="L509:L572" si="33">IF(VLOOKUP(A509,$K$3:$K$82,1,FALSE)=A509,A509)</f>
        <v>#N/A</v>
      </c>
      <c r="M509">
        <f t="shared" si="31"/>
        <v>0</v>
      </c>
      <c r="N509">
        <f t="shared" si="32"/>
        <v>0</v>
      </c>
    </row>
    <row r="510" spans="1:14" x14ac:dyDescent="0.25">
      <c r="A510" s="24" t="s">
        <v>629</v>
      </c>
      <c r="B510" s="161" t="s">
        <v>483</v>
      </c>
      <c r="C510" s="161"/>
      <c r="D510" s="161"/>
      <c r="E510" s="161"/>
      <c r="F510" s="161"/>
      <c r="G510" s="69"/>
      <c r="H510" s="69"/>
      <c r="L510" t="e">
        <f t="shared" si="33"/>
        <v>#N/A</v>
      </c>
      <c r="M510">
        <f t="shared" si="31"/>
        <v>0</v>
      </c>
      <c r="N510">
        <f t="shared" si="32"/>
        <v>0</v>
      </c>
    </row>
    <row r="511" spans="1:14" x14ac:dyDescent="0.25">
      <c r="L511" t="e">
        <f t="shared" si="33"/>
        <v>#N/A</v>
      </c>
      <c r="M511">
        <f t="shared" si="31"/>
        <v>0</v>
      </c>
      <c r="N511">
        <f t="shared" si="32"/>
        <v>0</v>
      </c>
    </row>
    <row r="512" spans="1:14" x14ac:dyDescent="0.25">
      <c r="L512" t="e">
        <f t="shared" si="33"/>
        <v>#N/A</v>
      </c>
      <c r="M512">
        <f t="shared" si="31"/>
        <v>0</v>
      </c>
      <c r="N512">
        <f t="shared" si="32"/>
        <v>0</v>
      </c>
    </row>
    <row r="513" spans="1:14" x14ac:dyDescent="0.25">
      <c r="A513" s="159" t="s">
        <v>19</v>
      </c>
      <c r="B513" s="159"/>
      <c r="C513" s="159"/>
      <c r="D513" s="159"/>
      <c r="E513" s="159"/>
      <c r="F513" s="159"/>
      <c r="G513" s="65"/>
      <c r="H513" s="65"/>
      <c r="L513" t="e">
        <f t="shared" si="33"/>
        <v>#N/A</v>
      </c>
      <c r="M513">
        <f t="shared" si="31"/>
        <v>0</v>
      </c>
      <c r="N513">
        <f t="shared" si="32"/>
        <v>0</v>
      </c>
    </row>
    <row r="514" spans="1:14" x14ac:dyDescent="0.25">
      <c r="A514" s="62" t="s">
        <v>15</v>
      </c>
      <c r="B514" s="157" t="s">
        <v>14</v>
      </c>
      <c r="C514" s="157"/>
      <c r="D514" s="157"/>
      <c r="E514" s="157"/>
      <c r="F514" s="157"/>
      <c r="G514" s="62" t="s">
        <v>15</v>
      </c>
      <c r="H514" s="62" t="s">
        <v>16</v>
      </c>
      <c r="L514" t="e">
        <f t="shared" si="33"/>
        <v>#N/A</v>
      </c>
      <c r="M514">
        <f t="shared" si="31"/>
        <v>0</v>
      </c>
      <c r="N514">
        <f t="shared" si="32"/>
        <v>0</v>
      </c>
    </row>
    <row r="515" spans="1:14" x14ac:dyDescent="0.25">
      <c r="A515" t="s">
        <v>482</v>
      </c>
      <c r="B515" s="160" t="e">
        <f>VLOOKUP(A515,RN_BN!$A$3:$D$193,2,FALSE)</f>
        <v>#N/A</v>
      </c>
      <c r="C515" s="160"/>
      <c r="D515" s="160"/>
      <c r="E515" s="160"/>
      <c r="F515" s="160"/>
      <c r="G515" t="e">
        <f>$A$522</f>
        <v>#N/A</v>
      </c>
      <c r="H515" t="s">
        <v>494</v>
      </c>
      <c r="L515" t="str">
        <f t="shared" si="33"/>
        <v>Re_01_01</v>
      </c>
      <c r="M515" t="e">
        <f t="shared" ref="M515:M578" si="34">IF(ISNA(L515),,G515)</f>
        <v>#N/A</v>
      </c>
      <c r="N515" t="str">
        <f t="shared" si="32"/>
        <v>órden de recepción</v>
      </c>
    </row>
    <row r="516" spans="1:14" x14ac:dyDescent="0.25">
      <c r="A516" t="s">
        <v>520</v>
      </c>
      <c r="B516" s="160" t="e">
        <f>VLOOKUP(A516,RN_BN!$A$3:$D$193,2,FALSE)</f>
        <v>#N/A</v>
      </c>
      <c r="C516" s="160"/>
      <c r="D516" s="160"/>
      <c r="E516" s="160"/>
      <c r="F516" s="160"/>
      <c r="G516" t="e">
        <f>$A$522</f>
        <v>#N/A</v>
      </c>
      <c r="H516" t="s">
        <v>494</v>
      </c>
      <c r="L516" t="str">
        <f t="shared" si="33"/>
        <v>Re_01_04</v>
      </c>
      <c r="M516" t="e">
        <f t="shared" si="34"/>
        <v>#N/A</v>
      </c>
      <c r="N516" t="str">
        <f t="shared" si="32"/>
        <v>órden de recepción</v>
      </c>
    </row>
    <row r="517" spans="1:14" x14ac:dyDescent="0.25">
      <c r="A517" t="s">
        <v>521</v>
      </c>
      <c r="B517" s="160" t="e">
        <f>VLOOKUP(A517,RN_BN!$A$3:$D$193,2,FALSE)</f>
        <v>#N/A</v>
      </c>
      <c r="C517" s="160"/>
      <c r="D517" s="160"/>
      <c r="E517" s="160"/>
      <c r="F517" s="160"/>
      <c r="G517" t="e">
        <f>$A$522</f>
        <v>#N/A</v>
      </c>
      <c r="H517" t="s">
        <v>494</v>
      </c>
      <c r="L517" t="str">
        <f t="shared" si="33"/>
        <v>Re_01_05</v>
      </c>
      <c r="M517" t="e">
        <f t="shared" si="34"/>
        <v>#N/A</v>
      </c>
      <c r="N517" t="str">
        <f t="shared" si="32"/>
        <v>órden de recepción</v>
      </c>
    </row>
    <row r="518" spans="1:14" x14ac:dyDescent="0.25">
      <c r="A518" t="s">
        <v>524</v>
      </c>
      <c r="B518" s="160" t="e">
        <f>VLOOKUP(A518,RN_BN!$A$3:$D$193,2,FALSE)</f>
        <v>#N/A</v>
      </c>
      <c r="C518" s="160"/>
      <c r="D518" s="160"/>
      <c r="E518" s="160"/>
      <c r="F518" s="160"/>
      <c r="G518" t="e">
        <f>$A$522</f>
        <v>#N/A</v>
      </c>
      <c r="H518" t="s">
        <v>494</v>
      </c>
      <c r="L518" t="str">
        <f t="shared" si="33"/>
        <v>Re_01_06</v>
      </c>
      <c r="M518" t="e">
        <f t="shared" si="34"/>
        <v>#N/A</v>
      </c>
      <c r="N518" t="str">
        <f t="shared" si="32"/>
        <v>órden de recepción</v>
      </c>
    </row>
    <row r="519" spans="1:14" x14ac:dyDescent="0.25">
      <c r="L519" t="e">
        <f t="shared" si="33"/>
        <v>#N/A</v>
      </c>
      <c r="M519">
        <f t="shared" si="34"/>
        <v>0</v>
      </c>
      <c r="N519">
        <f t="shared" si="32"/>
        <v>0</v>
      </c>
    </row>
    <row r="520" spans="1:14" x14ac:dyDescent="0.25">
      <c r="A520" s="157" t="s">
        <v>143</v>
      </c>
      <c r="B520" s="157"/>
      <c r="C520" s="157" t="s">
        <v>18</v>
      </c>
      <c r="D520" s="157"/>
      <c r="E520" s="157"/>
      <c r="F520" s="157"/>
      <c r="G520" s="63"/>
      <c r="H520" s="63"/>
      <c r="L520" t="e">
        <f t="shared" si="33"/>
        <v>#N/A</v>
      </c>
      <c r="M520">
        <f t="shared" si="34"/>
        <v>0</v>
      </c>
      <c r="N520">
        <f t="shared" si="32"/>
        <v>0</v>
      </c>
    </row>
    <row r="521" spans="1:14" x14ac:dyDescent="0.25">
      <c r="A521" s="62" t="s">
        <v>15</v>
      </c>
      <c r="B521" s="62" t="s">
        <v>16</v>
      </c>
      <c r="C521" s="62" t="s">
        <v>15</v>
      </c>
      <c r="D521" s="62" t="s">
        <v>14</v>
      </c>
      <c r="E521" s="62" t="s">
        <v>8</v>
      </c>
      <c r="F521" s="62" t="s">
        <v>142</v>
      </c>
      <c r="G521" s="62"/>
      <c r="H521" s="62"/>
      <c r="L521" t="e">
        <f t="shared" si="33"/>
        <v>#N/A</v>
      </c>
      <c r="M521">
        <f t="shared" si="34"/>
        <v>0</v>
      </c>
      <c r="N521">
        <f t="shared" si="32"/>
        <v>0</v>
      </c>
    </row>
    <row r="522" spans="1:14" x14ac:dyDescent="0.25">
      <c r="A522" t="e">
        <f>CONCATENATE("UI","_",F522,"_",C522)</f>
        <v>#N/A</v>
      </c>
      <c r="B522" t="s">
        <v>494</v>
      </c>
      <c r="C522" t="e">
        <f>VLOOKUP(A515,RN_BN!$A$3:$D$193,3,FALSE)</f>
        <v>#N/A</v>
      </c>
      <c r="D522" t="e">
        <f>VLOOKUP(A515,RN_BN!$A$3:$D$193,4,FALSE)</f>
        <v>#N/A</v>
      </c>
      <c r="E522" t="e">
        <f>VLOOKUP(C522,RN_BN!$C$3:$F$193,4,FALSE)</f>
        <v>#N/A</v>
      </c>
      <c r="F522" s="22" t="s">
        <v>48</v>
      </c>
      <c r="G522" s="22"/>
      <c r="H522" s="22"/>
      <c r="L522" t="e">
        <f t="shared" si="33"/>
        <v>#N/A</v>
      </c>
      <c r="M522">
        <f t="shared" si="34"/>
        <v>0</v>
      </c>
      <c r="N522">
        <f t="shared" si="32"/>
        <v>0</v>
      </c>
    </row>
    <row r="523" spans="1:14" x14ac:dyDescent="0.25">
      <c r="L523" t="e">
        <f t="shared" si="33"/>
        <v>#N/A</v>
      </c>
      <c r="M523">
        <f t="shared" si="34"/>
        <v>0</v>
      </c>
      <c r="N523">
        <f t="shared" si="32"/>
        <v>0</v>
      </c>
    </row>
    <row r="524" spans="1:14" x14ac:dyDescent="0.25">
      <c r="A524" s="62" t="s">
        <v>162</v>
      </c>
      <c r="B524" s="158" t="s">
        <v>16</v>
      </c>
      <c r="C524" s="158"/>
      <c r="D524" s="158"/>
      <c r="E524" s="158"/>
      <c r="F524" s="158"/>
      <c r="G524" s="68"/>
      <c r="H524" s="68"/>
      <c r="L524" t="e">
        <f t="shared" si="33"/>
        <v>#N/A</v>
      </c>
      <c r="M524">
        <f t="shared" si="34"/>
        <v>0</v>
      </c>
      <c r="N524">
        <f t="shared" ref="N524:N587" si="35">IF(ISNA(L524),,H524)</f>
        <v>0</v>
      </c>
    </row>
    <row r="525" spans="1:14" x14ac:dyDescent="0.25">
      <c r="A525" s="24" t="s">
        <v>261</v>
      </c>
      <c r="B525" s="156" t="s">
        <v>495</v>
      </c>
      <c r="C525" s="156"/>
      <c r="D525" s="156"/>
      <c r="E525" s="156"/>
      <c r="F525" s="156"/>
      <c r="G525" s="67"/>
      <c r="H525" s="67"/>
      <c r="L525" t="e">
        <f t="shared" si="33"/>
        <v>#N/A</v>
      </c>
      <c r="M525">
        <f t="shared" si="34"/>
        <v>0</v>
      </c>
      <c r="N525">
        <f t="shared" si="35"/>
        <v>0</v>
      </c>
    </row>
    <row r="526" spans="1:14" x14ac:dyDescent="0.25">
      <c r="A526" s="24" t="s">
        <v>95</v>
      </c>
      <c r="B526" s="156" t="s">
        <v>496</v>
      </c>
      <c r="C526" s="156"/>
      <c r="D526" s="156"/>
      <c r="E526" s="156"/>
      <c r="F526" s="156"/>
      <c r="G526" s="67"/>
      <c r="H526" s="67"/>
      <c r="L526" t="e">
        <f t="shared" si="33"/>
        <v>#N/A</v>
      </c>
      <c r="M526">
        <f t="shared" si="34"/>
        <v>0</v>
      </c>
      <c r="N526">
        <f t="shared" si="35"/>
        <v>0</v>
      </c>
    </row>
    <row r="527" spans="1:14" x14ac:dyDescent="0.25">
      <c r="A527" s="24" t="s">
        <v>96</v>
      </c>
      <c r="B527" s="156" t="s">
        <v>497</v>
      </c>
      <c r="C527" s="156"/>
      <c r="D527" s="156"/>
      <c r="E527" s="156"/>
      <c r="F527" s="156"/>
      <c r="G527" s="67"/>
      <c r="H527" s="67"/>
      <c r="L527" t="e">
        <f t="shared" si="33"/>
        <v>#N/A</v>
      </c>
      <c r="M527">
        <f t="shared" si="34"/>
        <v>0</v>
      </c>
      <c r="N527">
        <f t="shared" si="35"/>
        <v>0</v>
      </c>
    </row>
    <row r="528" spans="1:14" x14ac:dyDescent="0.25">
      <c r="A528" s="24" t="s">
        <v>148</v>
      </c>
      <c r="B528" s="156" t="s">
        <v>456</v>
      </c>
      <c r="C528" s="156"/>
      <c r="D528" s="156"/>
      <c r="E528" s="156"/>
      <c r="F528" s="156"/>
      <c r="G528" s="67"/>
      <c r="H528" s="67"/>
      <c r="L528" t="e">
        <f t="shared" si="33"/>
        <v>#N/A</v>
      </c>
      <c r="M528">
        <f t="shared" si="34"/>
        <v>0</v>
      </c>
      <c r="N528">
        <f t="shared" si="35"/>
        <v>0</v>
      </c>
    </row>
    <row r="529" spans="1:14" x14ac:dyDescent="0.25">
      <c r="A529" s="24" t="s">
        <v>457</v>
      </c>
      <c r="B529" s="156" t="s">
        <v>458</v>
      </c>
      <c r="C529" s="156"/>
      <c r="D529" s="156"/>
      <c r="E529" s="156"/>
      <c r="F529" s="156"/>
      <c r="G529" s="67"/>
      <c r="H529" s="67"/>
      <c r="L529" t="e">
        <f t="shared" si="33"/>
        <v>#N/A</v>
      </c>
      <c r="M529">
        <f t="shared" si="34"/>
        <v>0</v>
      </c>
      <c r="N529">
        <f t="shared" si="35"/>
        <v>0</v>
      </c>
    </row>
    <row r="530" spans="1:14" x14ac:dyDescent="0.25">
      <c r="A530" s="24" t="s">
        <v>498</v>
      </c>
      <c r="B530" s="156" t="s">
        <v>459</v>
      </c>
      <c r="C530" s="156"/>
      <c r="D530" s="156"/>
      <c r="E530" s="156"/>
      <c r="F530" s="156"/>
      <c r="G530" s="67"/>
      <c r="H530" s="67"/>
      <c r="L530" t="e">
        <f t="shared" si="33"/>
        <v>#N/A</v>
      </c>
      <c r="M530">
        <f t="shared" si="34"/>
        <v>0</v>
      </c>
      <c r="N530">
        <f t="shared" si="35"/>
        <v>0</v>
      </c>
    </row>
    <row r="531" spans="1:14" x14ac:dyDescent="0.25">
      <c r="A531" s="24" t="s">
        <v>499</v>
      </c>
      <c r="B531" s="156" t="s">
        <v>500</v>
      </c>
      <c r="C531" s="156"/>
      <c r="D531" s="156"/>
      <c r="E531" s="156"/>
      <c r="F531" s="156"/>
      <c r="G531" s="67"/>
      <c r="H531" s="67"/>
      <c r="L531" t="e">
        <f t="shared" si="33"/>
        <v>#N/A</v>
      </c>
      <c r="M531">
        <f t="shared" si="34"/>
        <v>0</v>
      </c>
      <c r="N531">
        <f t="shared" si="35"/>
        <v>0</v>
      </c>
    </row>
    <row r="532" spans="1:14" x14ac:dyDescent="0.25">
      <c r="A532" s="24" t="s">
        <v>501</v>
      </c>
      <c r="B532" s="156" t="s">
        <v>502</v>
      </c>
      <c r="C532" s="156"/>
      <c r="D532" s="156"/>
      <c r="E532" s="156"/>
      <c r="F532" s="156"/>
      <c r="G532" s="67"/>
      <c r="H532" s="67"/>
      <c r="L532" t="e">
        <f t="shared" si="33"/>
        <v>#N/A</v>
      </c>
      <c r="M532">
        <f t="shared" si="34"/>
        <v>0</v>
      </c>
      <c r="N532">
        <f t="shared" si="35"/>
        <v>0</v>
      </c>
    </row>
    <row r="533" spans="1:14" x14ac:dyDescent="0.25">
      <c r="A533" s="24" t="s">
        <v>503</v>
      </c>
      <c r="B533" s="156" t="s">
        <v>504</v>
      </c>
      <c r="C533" s="156"/>
      <c r="D533" s="156"/>
      <c r="E533" s="156"/>
      <c r="F533" s="156"/>
      <c r="G533" s="67"/>
      <c r="H533" s="67"/>
      <c r="L533" t="e">
        <f t="shared" si="33"/>
        <v>#N/A</v>
      </c>
      <c r="M533">
        <f t="shared" si="34"/>
        <v>0</v>
      </c>
      <c r="N533">
        <f t="shared" si="35"/>
        <v>0</v>
      </c>
    </row>
    <row r="534" spans="1:14" x14ac:dyDescent="0.25">
      <c r="A534" s="24" t="s">
        <v>269</v>
      </c>
      <c r="B534" s="156" t="s">
        <v>462</v>
      </c>
      <c r="C534" s="156"/>
      <c r="D534" s="156"/>
      <c r="E534" s="156"/>
      <c r="F534" s="156"/>
      <c r="G534" s="67"/>
      <c r="H534" s="67"/>
      <c r="L534" t="e">
        <f t="shared" si="33"/>
        <v>#N/A</v>
      </c>
      <c r="M534">
        <f t="shared" si="34"/>
        <v>0</v>
      </c>
      <c r="N534">
        <f t="shared" si="35"/>
        <v>0</v>
      </c>
    </row>
    <row r="535" spans="1:14" x14ac:dyDescent="0.25">
      <c r="A535" s="24" t="s">
        <v>505</v>
      </c>
      <c r="B535" s="156" t="s">
        <v>506</v>
      </c>
      <c r="C535" s="156"/>
      <c r="D535" s="156"/>
      <c r="E535" s="156"/>
      <c r="F535" s="156"/>
      <c r="G535" s="67"/>
      <c r="H535" s="67"/>
      <c r="L535" t="e">
        <f t="shared" si="33"/>
        <v>#N/A</v>
      </c>
      <c r="M535">
        <f t="shared" si="34"/>
        <v>0</v>
      </c>
      <c r="N535">
        <f t="shared" si="35"/>
        <v>0</v>
      </c>
    </row>
    <row r="536" spans="1:14" x14ac:dyDescent="0.25">
      <c r="A536" s="24" t="s">
        <v>271</v>
      </c>
      <c r="B536" s="162" t="s">
        <v>507</v>
      </c>
      <c r="C536" s="156"/>
      <c r="D536" s="156"/>
      <c r="E536" s="156"/>
      <c r="F536" s="156"/>
      <c r="G536" s="67"/>
      <c r="H536" s="67"/>
      <c r="L536" t="e">
        <f t="shared" si="33"/>
        <v>#N/A</v>
      </c>
      <c r="M536">
        <f t="shared" si="34"/>
        <v>0</v>
      </c>
      <c r="N536">
        <f t="shared" si="35"/>
        <v>0</v>
      </c>
    </row>
    <row r="537" spans="1:14" x14ac:dyDescent="0.25">
      <c r="A537" s="24" t="s">
        <v>273</v>
      </c>
      <c r="B537" s="156" t="s">
        <v>274</v>
      </c>
      <c r="C537" s="156"/>
      <c r="D537" s="156"/>
      <c r="E537" s="156"/>
      <c r="F537" s="156"/>
      <c r="G537" s="67"/>
      <c r="H537" s="67"/>
      <c r="L537" t="e">
        <f t="shared" si="33"/>
        <v>#N/A</v>
      </c>
      <c r="M537">
        <f t="shared" si="34"/>
        <v>0</v>
      </c>
      <c r="N537">
        <f t="shared" si="35"/>
        <v>0</v>
      </c>
    </row>
    <row r="538" spans="1:14" x14ac:dyDescent="0.25">
      <c r="A538" s="24" t="s">
        <v>275</v>
      </c>
      <c r="B538" s="156" t="s">
        <v>508</v>
      </c>
      <c r="C538" s="156"/>
      <c r="D538" s="156"/>
      <c r="E538" s="156"/>
      <c r="F538" s="156"/>
      <c r="G538" s="67"/>
      <c r="H538" s="67"/>
      <c r="L538" t="e">
        <f t="shared" si="33"/>
        <v>#N/A</v>
      </c>
      <c r="M538">
        <f t="shared" si="34"/>
        <v>0</v>
      </c>
      <c r="N538">
        <f t="shared" si="35"/>
        <v>0</v>
      </c>
    </row>
    <row r="539" spans="1:14" x14ac:dyDescent="0.25">
      <c r="A539" s="3"/>
      <c r="B539" s="67"/>
      <c r="C539" s="67"/>
      <c r="D539" s="67"/>
      <c r="E539" s="67"/>
      <c r="F539" s="67"/>
      <c r="G539" s="67"/>
      <c r="H539" s="67"/>
      <c r="L539" t="e">
        <f t="shared" si="33"/>
        <v>#N/A</v>
      </c>
      <c r="M539">
        <f t="shared" si="34"/>
        <v>0</v>
      </c>
      <c r="N539">
        <f t="shared" si="35"/>
        <v>0</v>
      </c>
    </row>
    <row r="540" spans="1:14" x14ac:dyDescent="0.25">
      <c r="A540" s="62" t="s">
        <v>163</v>
      </c>
      <c r="B540" s="158" t="s">
        <v>16</v>
      </c>
      <c r="C540" s="158"/>
      <c r="D540" s="158"/>
      <c r="E540" s="158"/>
      <c r="F540" s="158"/>
      <c r="G540" s="68"/>
      <c r="H540" s="68"/>
      <c r="L540" t="e">
        <f t="shared" si="33"/>
        <v>#N/A</v>
      </c>
      <c r="M540">
        <f t="shared" si="34"/>
        <v>0</v>
      </c>
      <c r="N540">
        <f t="shared" si="35"/>
        <v>0</v>
      </c>
    </row>
    <row r="541" spans="1:14" x14ac:dyDescent="0.25">
      <c r="A541" s="24" t="s">
        <v>603</v>
      </c>
      <c r="B541" s="161" t="s">
        <v>298</v>
      </c>
      <c r="C541" s="161"/>
      <c r="D541" s="161"/>
      <c r="E541" s="161"/>
      <c r="F541" s="161"/>
      <c r="G541" s="69"/>
      <c r="H541" s="69"/>
      <c r="L541" t="e">
        <f t="shared" si="33"/>
        <v>#N/A</v>
      </c>
      <c r="M541">
        <f t="shared" si="34"/>
        <v>0</v>
      </c>
      <c r="N541">
        <f t="shared" si="35"/>
        <v>0</v>
      </c>
    </row>
    <row r="542" spans="1:14" x14ac:dyDescent="0.25">
      <c r="A542" s="24" t="s">
        <v>299</v>
      </c>
      <c r="B542" s="161" t="s">
        <v>509</v>
      </c>
      <c r="C542" s="161"/>
      <c r="D542" s="161"/>
      <c r="E542" s="161"/>
      <c r="F542" s="161"/>
      <c r="G542" s="69"/>
      <c r="H542" s="69"/>
      <c r="L542" t="e">
        <f t="shared" si="33"/>
        <v>#N/A</v>
      </c>
      <c r="M542">
        <f t="shared" si="34"/>
        <v>0</v>
      </c>
      <c r="N542">
        <f t="shared" si="35"/>
        <v>0</v>
      </c>
    </row>
    <row r="543" spans="1:14" x14ac:dyDescent="0.25">
      <c r="L543" t="e">
        <f t="shared" si="33"/>
        <v>#N/A</v>
      </c>
      <c r="M543">
        <f t="shared" si="34"/>
        <v>0</v>
      </c>
      <c r="N543">
        <f t="shared" si="35"/>
        <v>0</v>
      </c>
    </row>
    <row r="544" spans="1:14" x14ac:dyDescent="0.25">
      <c r="L544" t="e">
        <f t="shared" si="33"/>
        <v>#N/A</v>
      </c>
      <c r="M544">
        <f t="shared" si="34"/>
        <v>0</v>
      </c>
      <c r="N544">
        <f t="shared" si="35"/>
        <v>0</v>
      </c>
    </row>
    <row r="545" spans="1:14" x14ac:dyDescent="0.25">
      <c r="L545" t="e">
        <f t="shared" si="33"/>
        <v>#N/A</v>
      </c>
      <c r="M545">
        <f t="shared" si="34"/>
        <v>0</v>
      </c>
      <c r="N545">
        <f t="shared" si="35"/>
        <v>0</v>
      </c>
    </row>
    <row r="546" spans="1:14" x14ac:dyDescent="0.25">
      <c r="A546" s="159" t="s">
        <v>19</v>
      </c>
      <c r="B546" s="159"/>
      <c r="C546" s="159"/>
      <c r="D546" s="159"/>
      <c r="E546" s="159"/>
      <c r="F546" s="159"/>
      <c r="G546" s="65"/>
      <c r="H546" s="65"/>
      <c r="L546" t="e">
        <f t="shared" si="33"/>
        <v>#N/A</v>
      </c>
      <c r="M546">
        <f t="shared" si="34"/>
        <v>0</v>
      </c>
      <c r="N546">
        <f t="shared" si="35"/>
        <v>0</v>
      </c>
    </row>
    <row r="547" spans="1:14" x14ac:dyDescent="0.25">
      <c r="A547" s="62" t="s">
        <v>15</v>
      </c>
      <c r="B547" s="157" t="s">
        <v>14</v>
      </c>
      <c r="C547" s="157"/>
      <c r="D547" s="157"/>
      <c r="E547" s="157"/>
      <c r="F547" s="157"/>
      <c r="G547" s="62" t="s">
        <v>15</v>
      </c>
      <c r="H547" s="62" t="s">
        <v>16</v>
      </c>
      <c r="L547" t="e">
        <f t="shared" si="33"/>
        <v>#N/A</v>
      </c>
      <c r="M547">
        <f t="shared" si="34"/>
        <v>0</v>
      </c>
      <c r="N547">
        <f t="shared" si="35"/>
        <v>0</v>
      </c>
    </row>
    <row r="548" spans="1:14" x14ac:dyDescent="0.25">
      <c r="A548" t="s">
        <v>522</v>
      </c>
      <c r="B548" s="160" t="e">
        <f>VLOOKUP(A548,RN_BN!$A$3:$D$193,2,FALSE)</f>
        <v>#N/A</v>
      </c>
      <c r="C548" s="160"/>
      <c r="D548" s="160"/>
      <c r="E548" s="160"/>
      <c r="F548" s="160"/>
      <c r="G548" t="e">
        <f t="shared" ref="G548:G553" si="36">$A$557</f>
        <v>#N/A</v>
      </c>
      <c r="H548" t="s">
        <v>510</v>
      </c>
      <c r="L548" t="str">
        <f t="shared" si="33"/>
        <v>Re_01_02</v>
      </c>
      <c r="M548" t="e">
        <f t="shared" si="34"/>
        <v>#N/A</v>
      </c>
      <c r="N548" t="str">
        <f t="shared" si="35"/>
        <v>Entrada a almacén</v>
      </c>
    </row>
    <row r="549" spans="1:14" x14ac:dyDescent="0.25">
      <c r="A549" t="s">
        <v>523</v>
      </c>
      <c r="B549" s="160" t="str">
        <f>VLOOKUP(A549,RN_BN!$A$3:$D$193,2,FALSE)</f>
        <v>Las órdenes de recepción deberán incluir un mecanismo que ante su ingreso requiera ya sea una aprobación de un usuario administrador o que sean "firmadas" con la palabra clave de la persona recibiendo la entrega</v>
      </c>
      <c r="C549" s="160"/>
      <c r="D549" s="160"/>
      <c r="E549" s="160"/>
      <c r="F549" s="160"/>
      <c r="G549" t="e">
        <f t="shared" si="36"/>
        <v>#N/A</v>
      </c>
      <c r="H549" t="s">
        <v>510</v>
      </c>
      <c r="L549" t="str">
        <f t="shared" si="33"/>
        <v>Re_01_03</v>
      </c>
      <c r="M549" t="e">
        <f t="shared" si="34"/>
        <v>#N/A</v>
      </c>
      <c r="N549" t="str">
        <f t="shared" si="35"/>
        <v>Entrada a almacén</v>
      </c>
    </row>
    <row r="550" spans="1:14" x14ac:dyDescent="0.25">
      <c r="A550" t="s">
        <v>525</v>
      </c>
      <c r="B550" s="160" t="e">
        <f>VLOOKUP(A550,RN_BN!$A$3:$D$193,2,FALSE)</f>
        <v>#N/A</v>
      </c>
      <c r="C550" s="160"/>
      <c r="D550" s="160"/>
      <c r="E550" s="160"/>
      <c r="F550" s="160"/>
      <c r="G550" t="e">
        <f t="shared" si="36"/>
        <v>#N/A</v>
      </c>
      <c r="H550" t="s">
        <v>510</v>
      </c>
      <c r="L550" t="str">
        <f t="shared" si="33"/>
        <v>Re_01_08</v>
      </c>
      <c r="M550" t="e">
        <f t="shared" si="34"/>
        <v>#N/A</v>
      </c>
      <c r="N550" t="str">
        <f t="shared" si="35"/>
        <v>Entrada a almacén</v>
      </c>
    </row>
    <row r="551" spans="1:14" x14ac:dyDescent="0.25">
      <c r="A551" t="s">
        <v>527</v>
      </c>
      <c r="B551" s="160" t="e">
        <f>VLOOKUP(A551,RN_BN!$A$3:$D$193,2,FALSE)</f>
        <v>#N/A</v>
      </c>
      <c r="C551" s="160"/>
      <c r="D551" s="160"/>
      <c r="E551" s="160"/>
      <c r="F551" s="160"/>
      <c r="G551" t="e">
        <f t="shared" si="36"/>
        <v>#N/A</v>
      </c>
      <c r="H551" t="s">
        <v>510</v>
      </c>
      <c r="L551" t="str">
        <f t="shared" si="33"/>
        <v>Re_01_07</v>
      </c>
      <c r="M551" t="e">
        <f t="shared" si="34"/>
        <v>#N/A</v>
      </c>
      <c r="N551" t="str">
        <f t="shared" si="35"/>
        <v>Entrada a almacén</v>
      </c>
    </row>
    <row r="552" spans="1:14" x14ac:dyDescent="0.25">
      <c r="A552" t="s">
        <v>526</v>
      </c>
      <c r="B552" s="160" t="e">
        <f>VLOOKUP(A552,RN_BN!$A$3:$D$193,2,FALSE)</f>
        <v>#N/A</v>
      </c>
      <c r="C552" s="160"/>
      <c r="D552" s="160"/>
      <c r="E552" s="160"/>
      <c r="F552" s="160"/>
      <c r="G552" t="e">
        <f t="shared" si="36"/>
        <v>#N/A</v>
      </c>
      <c r="H552" t="s">
        <v>510</v>
      </c>
      <c r="L552" t="str">
        <f t="shared" si="33"/>
        <v>Re_02_01</v>
      </c>
      <c r="M552" t="e">
        <f t="shared" si="34"/>
        <v>#N/A</v>
      </c>
      <c r="N552" t="str">
        <f t="shared" si="35"/>
        <v>Entrada a almacén</v>
      </c>
    </row>
    <row r="553" spans="1:14" x14ac:dyDescent="0.25">
      <c r="A553" t="s">
        <v>530</v>
      </c>
      <c r="B553" s="160" t="e">
        <f>VLOOKUP(A553,RN_BN!$A$3:$D$193,2,FALSE)</f>
        <v>#N/A</v>
      </c>
      <c r="C553" s="160"/>
      <c r="D553" s="160"/>
      <c r="E553" s="160"/>
      <c r="F553" s="160"/>
      <c r="G553" t="e">
        <f t="shared" si="36"/>
        <v>#N/A</v>
      </c>
      <c r="H553" t="s">
        <v>510</v>
      </c>
      <c r="L553" t="str">
        <f t="shared" si="33"/>
        <v>ES_01_01</v>
      </c>
      <c r="M553" t="e">
        <f t="shared" si="34"/>
        <v>#N/A</v>
      </c>
      <c r="N553" t="str">
        <f t="shared" si="35"/>
        <v>Entrada a almacén</v>
      </c>
    </row>
    <row r="554" spans="1:14" x14ac:dyDescent="0.25">
      <c r="L554" t="e">
        <f t="shared" si="33"/>
        <v>#N/A</v>
      </c>
      <c r="M554">
        <f t="shared" si="34"/>
        <v>0</v>
      </c>
      <c r="N554">
        <f t="shared" si="35"/>
        <v>0</v>
      </c>
    </row>
    <row r="555" spans="1:14" x14ac:dyDescent="0.25">
      <c r="A555" s="157" t="s">
        <v>143</v>
      </c>
      <c r="B555" s="157"/>
      <c r="C555" s="157" t="s">
        <v>18</v>
      </c>
      <c r="D555" s="157"/>
      <c r="E555" s="157"/>
      <c r="F555" s="157"/>
      <c r="G555" s="63"/>
      <c r="H555" s="63"/>
      <c r="L555" t="e">
        <f t="shared" si="33"/>
        <v>#N/A</v>
      </c>
      <c r="M555">
        <f t="shared" si="34"/>
        <v>0</v>
      </c>
      <c r="N555">
        <f t="shared" si="35"/>
        <v>0</v>
      </c>
    </row>
    <row r="556" spans="1:14" x14ac:dyDescent="0.25">
      <c r="A556" s="62" t="s">
        <v>15</v>
      </c>
      <c r="B556" s="62" t="s">
        <v>16</v>
      </c>
      <c r="C556" s="62" t="s">
        <v>15</v>
      </c>
      <c r="D556" s="62" t="s">
        <v>14</v>
      </c>
      <c r="E556" s="62" t="s">
        <v>8</v>
      </c>
      <c r="F556" s="62" t="s">
        <v>142</v>
      </c>
      <c r="G556" s="62"/>
      <c r="H556" s="62"/>
      <c r="L556" t="e">
        <f t="shared" si="33"/>
        <v>#N/A</v>
      </c>
      <c r="M556">
        <f t="shared" si="34"/>
        <v>0</v>
      </c>
      <c r="N556">
        <f t="shared" si="35"/>
        <v>0</v>
      </c>
    </row>
    <row r="557" spans="1:14" x14ac:dyDescent="0.25">
      <c r="A557" t="e">
        <f>CONCATENATE("UI","_",F557,"_",C557)</f>
        <v>#N/A</v>
      </c>
      <c r="B557" t="s">
        <v>510</v>
      </c>
      <c r="C557" t="e">
        <f>VLOOKUP(A548,RN_BN!$A$3:$D$193,3,FALSE)</f>
        <v>#N/A</v>
      </c>
      <c r="D557" t="e">
        <f>VLOOKUP(A548,RN_BN!$A$3:$D$193,4,FALSE)</f>
        <v>#N/A</v>
      </c>
      <c r="E557" t="e">
        <f>VLOOKUP(C557,RN_BN!$C$3:$F$193,4,FALSE)</f>
        <v>#N/A</v>
      </c>
      <c r="F557" s="22" t="s">
        <v>49</v>
      </c>
      <c r="G557" s="22"/>
      <c r="H557" s="22"/>
      <c r="L557" t="e">
        <f t="shared" si="33"/>
        <v>#N/A</v>
      </c>
      <c r="M557">
        <f t="shared" si="34"/>
        <v>0</v>
      </c>
      <c r="N557">
        <f t="shared" si="35"/>
        <v>0</v>
      </c>
    </row>
    <row r="558" spans="1:14" x14ac:dyDescent="0.25">
      <c r="L558" t="e">
        <f t="shared" si="33"/>
        <v>#N/A</v>
      </c>
      <c r="M558">
        <f t="shared" si="34"/>
        <v>0</v>
      </c>
      <c r="N558">
        <f t="shared" si="35"/>
        <v>0</v>
      </c>
    </row>
    <row r="559" spans="1:14" x14ac:dyDescent="0.25">
      <c r="A559" s="62" t="s">
        <v>162</v>
      </c>
      <c r="B559" s="158" t="s">
        <v>16</v>
      </c>
      <c r="C559" s="158"/>
      <c r="D559" s="158"/>
      <c r="E559" s="158"/>
      <c r="F559" s="158"/>
      <c r="G559" s="68"/>
      <c r="H559" s="68"/>
      <c r="L559" t="e">
        <f t="shared" si="33"/>
        <v>#N/A</v>
      </c>
      <c r="M559">
        <f t="shared" si="34"/>
        <v>0</v>
      </c>
      <c r="N559">
        <f t="shared" si="35"/>
        <v>0</v>
      </c>
    </row>
    <row r="560" spans="1:14" x14ac:dyDescent="0.25">
      <c r="A560" s="24" t="s">
        <v>511</v>
      </c>
      <c r="B560" s="156" t="s">
        <v>512</v>
      </c>
      <c r="C560" s="156"/>
      <c r="D560" s="156"/>
      <c r="E560" s="156"/>
      <c r="F560" s="156"/>
      <c r="G560" s="67"/>
      <c r="H560" s="67"/>
      <c r="L560" t="e">
        <f t="shared" si="33"/>
        <v>#N/A</v>
      </c>
      <c r="M560">
        <f t="shared" si="34"/>
        <v>0</v>
      </c>
      <c r="N560">
        <f t="shared" si="35"/>
        <v>0</v>
      </c>
    </row>
    <row r="561" spans="1:14" x14ac:dyDescent="0.25">
      <c r="A561" s="24" t="s">
        <v>95</v>
      </c>
      <c r="B561" s="156" t="s">
        <v>513</v>
      </c>
      <c r="C561" s="156"/>
      <c r="D561" s="156"/>
      <c r="E561" s="156"/>
      <c r="F561" s="156"/>
      <c r="G561" s="67"/>
      <c r="H561" s="67"/>
      <c r="L561" t="e">
        <f t="shared" si="33"/>
        <v>#N/A</v>
      </c>
      <c r="M561">
        <f t="shared" si="34"/>
        <v>0</v>
      </c>
      <c r="N561">
        <f t="shared" si="35"/>
        <v>0</v>
      </c>
    </row>
    <row r="562" spans="1:14" x14ac:dyDescent="0.25">
      <c r="A562" s="24" t="s">
        <v>96</v>
      </c>
      <c r="B562" s="156" t="s">
        <v>514</v>
      </c>
      <c r="C562" s="156"/>
      <c r="D562" s="156"/>
      <c r="E562" s="156"/>
      <c r="F562" s="156"/>
      <c r="G562" s="67"/>
      <c r="H562" s="67"/>
      <c r="L562" t="e">
        <f t="shared" si="33"/>
        <v>#N/A</v>
      </c>
      <c r="M562">
        <f t="shared" si="34"/>
        <v>0</v>
      </c>
      <c r="N562">
        <f t="shared" si="35"/>
        <v>0</v>
      </c>
    </row>
    <row r="563" spans="1:14" x14ac:dyDescent="0.25">
      <c r="A563" s="24" t="s">
        <v>148</v>
      </c>
      <c r="B563" s="156" t="s">
        <v>456</v>
      </c>
      <c r="C563" s="156"/>
      <c r="D563" s="156"/>
      <c r="E563" s="156"/>
      <c r="F563" s="156"/>
      <c r="G563" s="67"/>
      <c r="H563" s="67"/>
      <c r="L563" t="e">
        <f t="shared" si="33"/>
        <v>#N/A</v>
      </c>
      <c r="M563">
        <f t="shared" si="34"/>
        <v>0</v>
      </c>
      <c r="N563">
        <f t="shared" si="35"/>
        <v>0</v>
      </c>
    </row>
    <row r="564" spans="1:14" x14ac:dyDescent="0.25">
      <c r="A564" s="24" t="s">
        <v>457</v>
      </c>
      <c r="B564" s="156" t="s">
        <v>458</v>
      </c>
      <c r="C564" s="156"/>
      <c r="D564" s="156"/>
      <c r="E564" s="156"/>
      <c r="F564" s="156"/>
      <c r="G564" s="67"/>
      <c r="H564" s="67"/>
      <c r="L564" t="e">
        <f t="shared" si="33"/>
        <v>#N/A</v>
      </c>
      <c r="M564">
        <f t="shared" si="34"/>
        <v>0</v>
      </c>
      <c r="N564">
        <f t="shared" si="35"/>
        <v>0</v>
      </c>
    </row>
    <row r="565" spans="1:14" x14ac:dyDescent="0.25">
      <c r="A565" s="24" t="s">
        <v>515</v>
      </c>
      <c r="B565" s="156" t="s">
        <v>516</v>
      </c>
      <c r="C565" s="156"/>
      <c r="D565" s="156"/>
      <c r="E565" s="156"/>
      <c r="F565" s="156"/>
      <c r="G565" s="67"/>
      <c r="H565" s="67"/>
      <c r="L565" t="e">
        <f t="shared" si="33"/>
        <v>#N/A</v>
      </c>
      <c r="M565">
        <f t="shared" si="34"/>
        <v>0</v>
      </c>
      <c r="N565">
        <f t="shared" si="35"/>
        <v>0</v>
      </c>
    </row>
    <row r="566" spans="1:14" x14ac:dyDescent="0.25">
      <c r="A566" s="24" t="s">
        <v>503</v>
      </c>
      <c r="B566" s="156" t="s">
        <v>504</v>
      </c>
      <c r="C566" s="156"/>
      <c r="D566" s="156"/>
      <c r="E566" s="156"/>
      <c r="F566" s="156"/>
      <c r="G566" s="67"/>
      <c r="H566" s="67"/>
      <c r="L566" t="e">
        <f t="shared" si="33"/>
        <v>#N/A</v>
      </c>
      <c r="M566">
        <f t="shared" si="34"/>
        <v>0</v>
      </c>
      <c r="N566">
        <f t="shared" si="35"/>
        <v>0</v>
      </c>
    </row>
    <row r="567" spans="1:14" x14ac:dyDescent="0.25">
      <c r="A567" s="24" t="s">
        <v>573</v>
      </c>
      <c r="B567" s="156" t="s">
        <v>575</v>
      </c>
      <c r="C567" s="156"/>
      <c r="D567" s="156"/>
      <c r="E567" s="156"/>
      <c r="F567" s="156"/>
      <c r="G567" s="67"/>
      <c r="H567" s="67"/>
      <c r="L567" t="e">
        <f t="shared" si="33"/>
        <v>#N/A</v>
      </c>
      <c r="M567">
        <f t="shared" si="34"/>
        <v>0</v>
      </c>
      <c r="N567">
        <f t="shared" si="35"/>
        <v>0</v>
      </c>
    </row>
    <row r="568" spans="1:14" x14ac:dyDescent="0.25">
      <c r="A568" s="24" t="s">
        <v>574</v>
      </c>
      <c r="B568" s="156" t="s">
        <v>576</v>
      </c>
      <c r="C568" s="156"/>
      <c r="D568" s="156"/>
      <c r="E568" s="156"/>
      <c r="F568" s="156"/>
      <c r="G568" s="67"/>
      <c r="H568" s="67"/>
      <c r="L568" t="e">
        <f t="shared" si="33"/>
        <v>#N/A</v>
      </c>
      <c r="M568">
        <f t="shared" si="34"/>
        <v>0</v>
      </c>
      <c r="N568">
        <f t="shared" si="35"/>
        <v>0</v>
      </c>
    </row>
    <row r="569" spans="1:14" x14ac:dyDescent="0.25">
      <c r="A569" s="24" t="s">
        <v>331</v>
      </c>
      <c r="B569" s="156" t="s">
        <v>517</v>
      </c>
      <c r="C569" s="156"/>
      <c r="D569" s="156"/>
      <c r="E569" s="156"/>
      <c r="F569" s="156"/>
      <c r="G569" s="67"/>
      <c r="H569" s="67"/>
      <c r="L569" t="e">
        <f t="shared" si="33"/>
        <v>#N/A</v>
      </c>
      <c r="M569">
        <f t="shared" si="34"/>
        <v>0</v>
      </c>
      <c r="N569">
        <f t="shared" si="35"/>
        <v>0</v>
      </c>
    </row>
    <row r="570" spans="1:14" x14ac:dyDescent="0.25">
      <c r="A570" s="24" t="s">
        <v>347</v>
      </c>
      <c r="B570" s="156" t="s">
        <v>343</v>
      </c>
      <c r="C570" s="156"/>
      <c r="D570" s="156"/>
      <c r="E570" s="156"/>
      <c r="F570" s="156"/>
      <c r="G570" s="67"/>
      <c r="H570" s="67"/>
      <c r="L570" t="e">
        <f t="shared" si="33"/>
        <v>#N/A</v>
      </c>
      <c r="M570">
        <f t="shared" si="34"/>
        <v>0</v>
      </c>
      <c r="N570">
        <f t="shared" si="35"/>
        <v>0</v>
      </c>
    </row>
    <row r="571" spans="1:14" x14ac:dyDescent="0.25">
      <c r="A571" s="24" t="s">
        <v>61</v>
      </c>
      <c r="B571" s="156" t="s">
        <v>250</v>
      </c>
      <c r="C571" s="156"/>
      <c r="D571" s="156"/>
      <c r="E571" s="156"/>
      <c r="F571" s="156"/>
      <c r="G571" s="67"/>
      <c r="H571" s="67"/>
      <c r="L571" t="e">
        <f t="shared" si="33"/>
        <v>#N/A</v>
      </c>
      <c r="M571">
        <f t="shared" si="34"/>
        <v>0</v>
      </c>
      <c r="N571">
        <f t="shared" si="35"/>
        <v>0</v>
      </c>
    </row>
    <row r="572" spans="1:14" x14ac:dyDescent="0.25">
      <c r="A572" s="24" t="s">
        <v>273</v>
      </c>
      <c r="B572" s="156" t="s">
        <v>274</v>
      </c>
      <c r="C572" s="156"/>
      <c r="D572" s="156"/>
      <c r="E572" s="156"/>
      <c r="F572" s="156"/>
      <c r="G572" s="67"/>
      <c r="H572" s="67"/>
      <c r="L572" t="e">
        <f t="shared" si="33"/>
        <v>#N/A</v>
      </c>
      <c r="M572">
        <f t="shared" si="34"/>
        <v>0</v>
      </c>
      <c r="N572">
        <f t="shared" si="35"/>
        <v>0</v>
      </c>
    </row>
    <row r="573" spans="1:14" x14ac:dyDescent="0.25">
      <c r="A573" s="3"/>
      <c r="B573" s="67"/>
      <c r="C573" s="67"/>
      <c r="D573" s="67"/>
      <c r="E573" s="67"/>
      <c r="F573" s="67"/>
      <c r="G573" s="67"/>
      <c r="H573" s="67"/>
      <c r="L573" t="e">
        <f t="shared" ref="L573:L636" si="37">IF(VLOOKUP(A573,$K$3:$K$82,1,FALSE)=A573,A573)</f>
        <v>#N/A</v>
      </c>
      <c r="M573">
        <f t="shared" si="34"/>
        <v>0</v>
      </c>
      <c r="N573">
        <f t="shared" si="35"/>
        <v>0</v>
      </c>
    </row>
    <row r="574" spans="1:14" x14ac:dyDescent="0.25">
      <c r="A574" s="62" t="s">
        <v>163</v>
      </c>
      <c r="B574" s="158" t="s">
        <v>16</v>
      </c>
      <c r="C574" s="158"/>
      <c r="D574" s="158"/>
      <c r="E574" s="158"/>
      <c r="F574" s="158"/>
      <c r="G574" s="68"/>
      <c r="H574" s="68"/>
      <c r="L574" t="e">
        <f t="shared" si="37"/>
        <v>#N/A</v>
      </c>
      <c r="M574">
        <f t="shared" si="34"/>
        <v>0</v>
      </c>
      <c r="N574">
        <f t="shared" si="35"/>
        <v>0</v>
      </c>
    </row>
    <row r="575" spans="1:14" x14ac:dyDescent="0.25">
      <c r="A575" s="24" t="s">
        <v>518</v>
      </c>
      <c r="B575" s="161" t="s">
        <v>519</v>
      </c>
      <c r="C575" s="161"/>
      <c r="D575" s="161"/>
      <c r="E575" s="161"/>
      <c r="F575" s="161"/>
      <c r="G575" s="69"/>
      <c r="H575" s="69"/>
      <c r="L575" t="e">
        <f t="shared" si="37"/>
        <v>#N/A</v>
      </c>
      <c r="M575">
        <f t="shared" si="34"/>
        <v>0</v>
      </c>
      <c r="N575">
        <f t="shared" si="35"/>
        <v>0</v>
      </c>
    </row>
    <row r="576" spans="1:14" x14ac:dyDescent="0.25">
      <c r="L576" t="e">
        <f t="shared" si="37"/>
        <v>#N/A</v>
      </c>
      <c r="M576">
        <f t="shared" si="34"/>
        <v>0</v>
      </c>
      <c r="N576">
        <f t="shared" si="35"/>
        <v>0</v>
      </c>
    </row>
    <row r="577" spans="1:14" x14ac:dyDescent="0.25">
      <c r="L577" t="e">
        <f t="shared" si="37"/>
        <v>#N/A</v>
      </c>
      <c r="M577">
        <f t="shared" si="34"/>
        <v>0</v>
      </c>
      <c r="N577">
        <f t="shared" si="35"/>
        <v>0</v>
      </c>
    </row>
    <row r="578" spans="1:14" x14ac:dyDescent="0.25">
      <c r="L578" t="e">
        <f t="shared" si="37"/>
        <v>#N/A</v>
      </c>
      <c r="M578">
        <f t="shared" si="34"/>
        <v>0</v>
      </c>
      <c r="N578">
        <f t="shared" si="35"/>
        <v>0</v>
      </c>
    </row>
    <row r="579" spans="1:14" x14ac:dyDescent="0.25">
      <c r="A579" s="159" t="s">
        <v>19</v>
      </c>
      <c r="B579" s="159"/>
      <c r="C579" s="159"/>
      <c r="D579" s="159"/>
      <c r="E579" s="159"/>
      <c r="F579" s="159"/>
      <c r="G579" s="65"/>
      <c r="H579" s="65"/>
      <c r="L579" t="e">
        <f t="shared" si="37"/>
        <v>#N/A</v>
      </c>
      <c r="M579">
        <f t="shared" ref="M579:M642" si="38">IF(ISNA(L579),,G579)</f>
        <v>0</v>
      </c>
      <c r="N579">
        <f t="shared" si="35"/>
        <v>0</v>
      </c>
    </row>
    <row r="580" spans="1:14" x14ac:dyDescent="0.25">
      <c r="A580" s="62" t="s">
        <v>15</v>
      </c>
      <c r="B580" s="157" t="s">
        <v>14</v>
      </c>
      <c r="C580" s="157"/>
      <c r="D580" s="157"/>
      <c r="E580" s="157"/>
      <c r="F580" s="157"/>
      <c r="G580" s="62" t="s">
        <v>15</v>
      </c>
      <c r="H580" s="62" t="s">
        <v>16</v>
      </c>
      <c r="L580" t="e">
        <f t="shared" si="37"/>
        <v>#N/A</v>
      </c>
      <c r="M580">
        <f t="shared" si="38"/>
        <v>0</v>
      </c>
      <c r="N580">
        <f t="shared" si="35"/>
        <v>0</v>
      </c>
    </row>
    <row r="581" spans="1:14" x14ac:dyDescent="0.25">
      <c r="A581" t="s">
        <v>529</v>
      </c>
      <c r="B581" s="160" t="e">
        <f>VLOOKUP(A581,RN_BN!$A$3:$D$193,2,FALSE)</f>
        <v>#N/A</v>
      </c>
      <c r="C581" s="160"/>
      <c r="D581" s="160"/>
      <c r="E581" s="160"/>
      <c r="F581" s="160"/>
      <c r="G581" t="e">
        <f>A585</f>
        <v>#N/A</v>
      </c>
      <c r="H581" t="s">
        <v>531</v>
      </c>
      <c r="L581" t="str">
        <f t="shared" si="37"/>
        <v>ES_01_02</v>
      </c>
      <c r="M581" t="e">
        <f t="shared" si="38"/>
        <v>#N/A</v>
      </c>
      <c r="N581" t="str">
        <f t="shared" si="35"/>
        <v>Salida del almacén</v>
      </c>
    </row>
    <row r="582" spans="1:14" x14ac:dyDescent="0.25">
      <c r="L582" t="e">
        <f t="shared" si="37"/>
        <v>#N/A</v>
      </c>
      <c r="M582">
        <f t="shared" si="38"/>
        <v>0</v>
      </c>
      <c r="N582">
        <f t="shared" si="35"/>
        <v>0</v>
      </c>
    </row>
    <row r="583" spans="1:14" x14ac:dyDescent="0.25">
      <c r="A583" s="157" t="s">
        <v>143</v>
      </c>
      <c r="B583" s="157"/>
      <c r="C583" s="157" t="s">
        <v>18</v>
      </c>
      <c r="D583" s="157"/>
      <c r="E583" s="157"/>
      <c r="F583" s="157"/>
      <c r="G583" s="63"/>
      <c r="H583" s="63"/>
      <c r="L583" t="e">
        <f t="shared" si="37"/>
        <v>#N/A</v>
      </c>
      <c r="M583">
        <f t="shared" si="38"/>
        <v>0</v>
      </c>
      <c r="N583">
        <f t="shared" si="35"/>
        <v>0</v>
      </c>
    </row>
    <row r="584" spans="1:14" x14ac:dyDescent="0.25">
      <c r="A584" s="62" t="s">
        <v>15</v>
      </c>
      <c r="B584" s="62" t="s">
        <v>16</v>
      </c>
      <c r="C584" s="62" t="s">
        <v>15</v>
      </c>
      <c r="D584" s="62" t="s">
        <v>14</v>
      </c>
      <c r="E584" s="62" t="s">
        <v>8</v>
      </c>
      <c r="F584" s="62" t="s">
        <v>142</v>
      </c>
      <c r="G584" s="62"/>
      <c r="H584" s="62"/>
      <c r="L584" t="e">
        <f t="shared" si="37"/>
        <v>#N/A</v>
      </c>
      <c r="M584">
        <f t="shared" si="38"/>
        <v>0</v>
      </c>
      <c r="N584">
        <f t="shared" si="35"/>
        <v>0</v>
      </c>
    </row>
    <row r="585" spans="1:14" x14ac:dyDescent="0.25">
      <c r="A585" t="e">
        <f>CONCATENATE("UI","_",F585,"_",C585)</f>
        <v>#N/A</v>
      </c>
      <c r="B585" t="s">
        <v>531</v>
      </c>
      <c r="C585" t="e">
        <f>VLOOKUP(A581,RN_BN!$A$3:$D$193,3,FALSE)</f>
        <v>#N/A</v>
      </c>
      <c r="D585" t="e">
        <f>VLOOKUP(A581,RN_BN!$A$3:$D$193,4,FALSE)</f>
        <v>#N/A</v>
      </c>
      <c r="E585" t="e">
        <f>VLOOKUP(C585,RN_BN!$C$3:$F$193,4,FALSE)</f>
        <v>#N/A</v>
      </c>
      <c r="F585" s="22" t="s">
        <v>47</v>
      </c>
      <c r="G585" s="22"/>
      <c r="H585" s="22"/>
      <c r="L585" t="e">
        <f t="shared" si="37"/>
        <v>#N/A</v>
      </c>
      <c r="M585">
        <f t="shared" si="38"/>
        <v>0</v>
      </c>
      <c r="N585">
        <f t="shared" si="35"/>
        <v>0</v>
      </c>
    </row>
    <row r="586" spans="1:14" x14ac:dyDescent="0.25">
      <c r="L586" t="e">
        <f t="shared" si="37"/>
        <v>#N/A</v>
      </c>
      <c r="M586">
        <f t="shared" si="38"/>
        <v>0</v>
      </c>
      <c r="N586">
        <f t="shared" si="35"/>
        <v>0</v>
      </c>
    </row>
    <row r="587" spans="1:14" x14ac:dyDescent="0.25">
      <c r="A587" s="62" t="s">
        <v>162</v>
      </c>
      <c r="B587" s="158" t="s">
        <v>16</v>
      </c>
      <c r="C587" s="158"/>
      <c r="D587" s="158"/>
      <c r="E587" s="158"/>
      <c r="F587" s="158"/>
      <c r="G587" s="68"/>
      <c r="H587" s="68"/>
      <c r="L587" t="e">
        <f t="shared" si="37"/>
        <v>#N/A</v>
      </c>
      <c r="M587">
        <f t="shared" si="38"/>
        <v>0</v>
      </c>
      <c r="N587">
        <f t="shared" si="35"/>
        <v>0</v>
      </c>
    </row>
    <row r="588" spans="1:14" x14ac:dyDescent="0.25">
      <c r="A588" s="24" t="s">
        <v>95</v>
      </c>
      <c r="B588" s="156" t="s">
        <v>513</v>
      </c>
      <c r="C588" s="156"/>
      <c r="D588" s="156"/>
      <c r="E588" s="156"/>
      <c r="F588" s="156"/>
      <c r="G588" s="67"/>
      <c r="H588" s="67"/>
      <c r="L588" t="e">
        <f t="shared" si="37"/>
        <v>#N/A</v>
      </c>
      <c r="M588">
        <f t="shared" si="38"/>
        <v>0</v>
      </c>
      <c r="N588">
        <f t="shared" ref="N588:N651" si="39">IF(ISNA(L588),,H588)</f>
        <v>0</v>
      </c>
    </row>
    <row r="589" spans="1:14" x14ac:dyDescent="0.25">
      <c r="A589" s="24" t="s">
        <v>96</v>
      </c>
      <c r="B589" s="156" t="s">
        <v>514</v>
      </c>
      <c r="C589" s="156"/>
      <c r="D589" s="156"/>
      <c r="E589" s="156"/>
      <c r="F589" s="156"/>
      <c r="G589" s="67"/>
      <c r="H589" s="67"/>
      <c r="L589" t="e">
        <f t="shared" si="37"/>
        <v>#N/A</v>
      </c>
      <c r="M589">
        <f t="shared" si="38"/>
        <v>0</v>
      </c>
      <c r="N589">
        <f t="shared" si="39"/>
        <v>0</v>
      </c>
    </row>
    <row r="590" spans="1:14" x14ac:dyDescent="0.25">
      <c r="A590" s="24" t="s">
        <v>148</v>
      </c>
      <c r="B590" s="156" t="s">
        <v>456</v>
      </c>
      <c r="C590" s="156"/>
      <c r="D590" s="156"/>
      <c r="E590" s="156"/>
      <c r="F590" s="156"/>
      <c r="G590" s="67"/>
      <c r="H590" s="67"/>
      <c r="L590" t="e">
        <f t="shared" si="37"/>
        <v>#N/A</v>
      </c>
      <c r="M590">
        <f t="shared" si="38"/>
        <v>0</v>
      </c>
      <c r="N590">
        <f t="shared" si="39"/>
        <v>0</v>
      </c>
    </row>
    <row r="591" spans="1:14" x14ac:dyDescent="0.25">
      <c r="A591" s="24" t="s">
        <v>457</v>
      </c>
      <c r="B591" s="156" t="s">
        <v>458</v>
      </c>
      <c r="C591" s="156"/>
      <c r="D591" s="156"/>
      <c r="E591" s="156"/>
      <c r="F591" s="156"/>
      <c r="G591" s="67"/>
      <c r="H591" s="67"/>
      <c r="L591" t="e">
        <f t="shared" si="37"/>
        <v>#N/A</v>
      </c>
      <c r="M591">
        <f t="shared" si="38"/>
        <v>0</v>
      </c>
      <c r="N591">
        <f t="shared" si="39"/>
        <v>0</v>
      </c>
    </row>
    <row r="592" spans="1:14" x14ac:dyDescent="0.25">
      <c r="A592" s="24" t="s">
        <v>511</v>
      </c>
      <c r="B592" s="156" t="s">
        <v>512</v>
      </c>
      <c r="C592" s="156"/>
      <c r="D592" s="156"/>
      <c r="E592" s="156"/>
      <c r="F592" s="156"/>
      <c r="G592" s="67"/>
      <c r="H592" s="67"/>
      <c r="L592" t="e">
        <f t="shared" si="37"/>
        <v>#N/A</v>
      </c>
      <c r="M592">
        <f t="shared" si="38"/>
        <v>0</v>
      </c>
      <c r="N592">
        <f t="shared" si="39"/>
        <v>0</v>
      </c>
    </row>
    <row r="593" spans="1:14" x14ac:dyDescent="0.25">
      <c r="A593" s="24" t="s">
        <v>533</v>
      </c>
      <c r="B593" s="156" t="s">
        <v>516</v>
      </c>
      <c r="C593" s="156"/>
      <c r="D593" s="156"/>
      <c r="E593" s="156"/>
      <c r="F593" s="156"/>
      <c r="G593" s="67"/>
      <c r="H593" s="67"/>
      <c r="L593" t="e">
        <f t="shared" si="37"/>
        <v>#N/A</v>
      </c>
      <c r="M593">
        <f t="shared" si="38"/>
        <v>0</v>
      </c>
      <c r="N593">
        <f t="shared" si="39"/>
        <v>0</v>
      </c>
    </row>
    <row r="594" spans="1:14" x14ac:dyDescent="0.25">
      <c r="A594" s="24" t="s">
        <v>534</v>
      </c>
      <c r="B594" s="156" t="s">
        <v>535</v>
      </c>
      <c r="C594" s="156"/>
      <c r="D594" s="156"/>
      <c r="E594" s="156"/>
      <c r="F594" s="156"/>
      <c r="G594" s="67"/>
      <c r="H594" s="67"/>
      <c r="L594" t="e">
        <f t="shared" si="37"/>
        <v>#N/A</v>
      </c>
      <c r="M594">
        <f t="shared" si="38"/>
        <v>0</v>
      </c>
      <c r="N594">
        <f t="shared" si="39"/>
        <v>0</v>
      </c>
    </row>
    <row r="595" spans="1:14" x14ac:dyDescent="0.25">
      <c r="A595" s="24" t="s">
        <v>537</v>
      </c>
      <c r="B595" s="156" t="s">
        <v>538</v>
      </c>
      <c r="C595" s="156"/>
      <c r="D595" s="156"/>
      <c r="E595" s="156"/>
      <c r="F595" s="156"/>
      <c r="G595" s="67"/>
      <c r="H595" s="67"/>
      <c r="L595" t="e">
        <f t="shared" si="37"/>
        <v>#N/A</v>
      </c>
      <c r="M595">
        <f t="shared" si="38"/>
        <v>0</v>
      </c>
      <c r="N595">
        <f t="shared" si="39"/>
        <v>0</v>
      </c>
    </row>
    <row r="596" spans="1:14" x14ac:dyDescent="0.25">
      <c r="A596" s="24" t="s">
        <v>578</v>
      </c>
      <c r="B596" s="162" t="s">
        <v>579</v>
      </c>
      <c r="C596" s="156"/>
      <c r="D596" s="156"/>
      <c r="E596" s="156"/>
      <c r="F596" s="156"/>
      <c r="G596" s="67"/>
      <c r="H596" s="67"/>
      <c r="L596" t="e">
        <f t="shared" si="37"/>
        <v>#N/A</v>
      </c>
      <c r="M596">
        <f t="shared" si="38"/>
        <v>0</v>
      </c>
      <c r="N596">
        <f t="shared" si="39"/>
        <v>0</v>
      </c>
    </row>
    <row r="597" spans="1:14" x14ac:dyDescent="0.25">
      <c r="A597" s="24" t="s">
        <v>331</v>
      </c>
      <c r="B597" s="156" t="s">
        <v>536</v>
      </c>
      <c r="C597" s="156"/>
      <c r="D597" s="156"/>
      <c r="E597" s="156"/>
      <c r="F597" s="156"/>
      <c r="G597" s="67"/>
      <c r="H597" s="67"/>
      <c r="L597" t="e">
        <f t="shared" si="37"/>
        <v>#N/A</v>
      </c>
      <c r="M597">
        <f t="shared" si="38"/>
        <v>0</v>
      </c>
      <c r="N597">
        <f t="shared" si="39"/>
        <v>0</v>
      </c>
    </row>
    <row r="598" spans="1:14" x14ac:dyDescent="0.25">
      <c r="A598" s="24" t="s">
        <v>347</v>
      </c>
      <c r="B598" s="156" t="s">
        <v>343</v>
      </c>
      <c r="C598" s="156"/>
      <c r="D598" s="156"/>
      <c r="E598" s="156"/>
      <c r="F598" s="156"/>
      <c r="G598" s="67"/>
      <c r="H598" s="67"/>
      <c r="L598" t="e">
        <f t="shared" si="37"/>
        <v>#N/A</v>
      </c>
      <c r="M598">
        <f t="shared" si="38"/>
        <v>0</v>
      </c>
      <c r="N598">
        <f t="shared" si="39"/>
        <v>0</v>
      </c>
    </row>
    <row r="599" spans="1:14" x14ac:dyDescent="0.25">
      <c r="A599" s="24" t="s">
        <v>273</v>
      </c>
      <c r="B599" s="156" t="s">
        <v>274</v>
      </c>
      <c r="C599" s="156"/>
      <c r="D599" s="156"/>
      <c r="E599" s="156"/>
      <c r="F599" s="156"/>
      <c r="G599" s="67"/>
      <c r="H599" s="67"/>
      <c r="L599" t="e">
        <f t="shared" si="37"/>
        <v>#N/A</v>
      </c>
      <c r="M599">
        <f t="shared" si="38"/>
        <v>0</v>
      </c>
      <c r="N599">
        <f t="shared" si="39"/>
        <v>0</v>
      </c>
    </row>
    <row r="600" spans="1:14" x14ac:dyDescent="0.25">
      <c r="A600" s="3"/>
      <c r="B600" s="67"/>
      <c r="C600" s="67"/>
      <c r="D600" s="67"/>
      <c r="E600" s="67"/>
      <c r="F600" s="67"/>
      <c r="G600" s="67"/>
      <c r="H600" s="67"/>
      <c r="L600" t="e">
        <f t="shared" si="37"/>
        <v>#N/A</v>
      </c>
      <c r="M600">
        <f t="shared" si="38"/>
        <v>0</v>
      </c>
      <c r="N600">
        <f t="shared" si="39"/>
        <v>0</v>
      </c>
    </row>
    <row r="601" spans="1:14" x14ac:dyDescent="0.25">
      <c r="A601" s="62" t="s">
        <v>163</v>
      </c>
      <c r="B601" s="158" t="s">
        <v>16</v>
      </c>
      <c r="C601" s="158"/>
      <c r="D601" s="158"/>
      <c r="E601" s="158"/>
      <c r="F601" s="158"/>
      <c r="G601" s="68"/>
      <c r="H601" s="68"/>
      <c r="L601" t="e">
        <f t="shared" si="37"/>
        <v>#N/A</v>
      </c>
      <c r="M601">
        <f t="shared" si="38"/>
        <v>0</v>
      </c>
      <c r="N601">
        <f t="shared" si="39"/>
        <v>0</v>
      </c>
    </row>
    <row r="602" spans="1:14" x14ac:dyDescent="0.25">
      <c r="A602" s="24" t="s">
        <v>532</v>
      </c>
      <c r="B602" s="161" t="s">
        <v>519</v>
      </c>
      <c r="C602" s="161"/>
      <c r="D602" s="161"/>
      <c r="E602" s="161"/>
      <c r="F602" s="161"/>
      <c r="G602" s="69"/>
      <c r="H602" s="69"/>
      <c r="L602" t="e">
        <f t="shared" si="37"/>
        <v>#N/A</v>
      </c>
      <c r="M602">
        <f t="shared" si="38"/>
        <v>0</v>
      </c>
      <c r="N602">
        <f t="shared" si="39"/>
        <v>0</v>
      </c>
    </row>
    <row r="603" spans="1:14" x14ac:dyDescent="0.25">
      <c r="L603" t="e">
        <f t="shared" si="37"/>
        <v>#N/A</v>
      </c>
      <c r="M603">
        <f t="shared" si="38"/>
        <v>0</v>
      </c>
      <c r="N603">
        <f t="shared" si="39"/>
        <v>0</v>
      </c>
    </row>
    <row r="604" spans="1:14" x14ac:dyDescent="0.25">
      <c r="L604" t="e">
        <f t="shared" si="37"/>
        <v>#N/A</v>
      </c>
      <c r="M604">
        <f t="shared" si="38"/>
        <v>0</v>
      </c>
      <c r="N604">
        <f t="shared" si="39"/>
        <v>0</v>
      </c>
    </row>
    <row r="605" spans="1:14" x14ac:dyDescent="0.25">
      <c r="L605" t="e">
        <f t="shared" si="37"/>
        <v>#N/A</v>
      </c>
      <c r="M605">
        <f t="shared" si="38"/>
        <v>0</v>
      </c>
      <c r="N605">
        <f t="shared" si="39"/>
        <v>0</v>
      </c>
    </row>
    <row r="606" spans="1:14" x14ac:dyDescent="0.25">
      <c r="A606" s="159" t="s">
        <v>19</v>
      </c>
      <c r="B606" s="159"/>
      <c r="C606" s="159"/>
      <c r="D606" s="159"/>
      <c r="E606" s="159"/>
      <c r="F606" s="159"/>
      <c r="G606" s="65"/>
      <c r="H606" s="65"/>
      <c r="L606" t="e">
        <f t="shared" si="37"/>
        <v>#N/A</v>
      </c>
      <c r="M606">
        <f t="shared" si="38"/>
        <v>0</v>
      </c>
      <c r="N606">
        <f t="shared" si="39"/>
        <v>0</v>
      </c>
    </row>
    <row r="607" spans="1:14" x14ac:dyDescent="0.25">
      <c r="A607" s="62" t="s">
        <v>15</v>
      </c>
      <c r="B607" s="157" t="s">
        <v>14</v>
      </c>
      <c r="C607" s="157"/>
      <c r="D607" s="157"/>
      <c r="E607" s="157"/>
      <c r="F607" s="157"/>
      <c r="G607" s="62" t="s">
        <v>15</v>
      </c>
      <c r="H607" s="62" t="s">
        <v>16</v>
      </c>
      <c r="L607" t="e">
        <f t="shared" si="37"/>
        <v>#N/A</v>
      </c>
      <c r="M607">
        <f t="shared" si="38"/>
        <v>0</v>
      </c>
      <c r="N607">
        <f t="shared" si="39"/>
        <v>0</v>
      </c>
    </row>
    <row r="608" spans="1:14" x14ac:dyDescent="0.25">
      <c r="A608" t="s">
        <v>570</v>
      </c>
      <c r="B608" s="160" t="str">
        <f>VLOOKUP(A608,RN_BN!$A$3:$D$193,2,FALSE)</f>
        <v>Pago a proveedores, creacion automatica a partir de orden de recepcion, no posible modificacion ni cancelacion sino por medio de la recepcion. Recordatorio constante en caso de que se haya vencido la fecha limite de pago. Se dara la orden de pago como pagada mediante un mecanismo de aprobacion o un password de adminitrador al momento del cierre. pago ligado con respecto a lo efectivamente ingresado al almacen por medio de la orden de recepción. La orden de recepción debería contener un campo de comentarios</v>
      </c>
      <c r="C608" s="160"/>
      <c r="D608" s="160"/>
      <c r="E608" s="160"/>
      <c r="F608" s="160"/>
      <c r="G608" t="str">
        <f>$A$613</f>
        <v>UI_01_Pa_01</v>
      </c>
      <c r="H608" t="s">
        <v>571</v>
      </c>
      <c r="L608" t="str">
        <f t="shared" si="37"/>
        <v>Pa_01_01</v>
      </c>
      <c r="M608" t="str">
        <f t="shared" si="38"/>
        <v>UI_01_Pa_01</v>
      </c>
      <c r="N608" t="str">
        <f t="shared" si="39"/>
        <v>Órden de Pago</v>
      </c>
    </row>
    <row r="609" spans="1:14" x14ac:dyDescent="0.25">
      <c r="A609" t="s">
        <v>141</v>
      </c>
      <c r="B609" s="160" t="str">
        <f>VLOOKUP(A609,RN_BN!$A$3:$D$193,2,FALSE)</f>
        <v>Documento de orden de pago imprimible</v>
      </c>
      <c r="C609" s="160"/>
      <c r="D609" s="160"/>
      <c r="E609" s="160"/>
      <c r="F609" s="160"/>
      <c r="G609" t="str">
        <f>$A$613</f>
        <v>UI_01_Pa_01</v>
      </c>
      <c r="H609" t="s">
        <v>571</v>
      </c>
      <c r="L609" t="str">
        <f t="shared" si="37"/>
        <v>Pa_01_02</v>
      </c>
      <c r="M609" t="str">
        <f t="shared" si="38"/>
        <v>UI_01_Pa_01</v>
      </c>
      <c r="N609" t="str">
        <f t="shared" si="39"/>
        <v>Órden de Pago</v>
      </c>
    </row>
    <row r="610" spans="1:14" x14ac:dyDescent="0.25">
      <c r="L610" t="e">
        <f t="shared" si="37"/>
        <v>#N/A</v>
      </c>
      <c r="M610">
        <f t="shared" si="38"/>
        <v>0</v>
      </c>
      <c r="N610">
        <f t="shared" si="39"/>
        <v>0</v>
      </c>
    </row>
    <row r="611" spans="1:14" x14ac:dyDescent="0.25">
      <c r="A611" s="157" t="s">
        <v>143</v>
      </c>
      <c r="B611" s="157"/>
      <c r="C611" s="157" t="s">
        <v>18</v>
      </c>
      <c r="D611" s="157"/>
      <c r="E611" s="157"/>
      <c r="F611" s="157"/>
      <c r="G611" s="63"/>
      <c r="H611" s="63"/>
      <c r="L611" t="e">
        <f t="shared" si="37"/>
        <v>#N/A</v>
      </c>
      <c r="M611">
        <f t="shared" si="38"/>
        <v>0</v>
      </c>
      <c r="N611">
        <f t="shared" si="39"/>
        <v>0</v>
      </c>
    </row>
    <row r="612" spans="1:14" x14ac:dyDescent="0.25">
      <c r="A612" s="62" t="s">
        <v>15</v>
      </c>
      <c r="B612" s="62" t="s">
        <v>16</v>
      </c>
      <c r="C612" s="62" t="s">
        <v>15</v>
      </c>
      <c r="D612" s="62" t="s">
        <v>14</v>
      </c>
      <c r="E612" s="62" t="s">
        <v>8</v>
      </c>
      <c r="F612" s="62" t="s">
        <v>142</v>
      </c>
      <c r="G612" s="62"/>
      <c r="H612" s="62"/>
      <c r="L612" t="e">
        <f t="shared" si="37"/>
        <v>#N/A</v>
      </c>
      <c r="M612">
        <f t="shared" si="38"/>
        <v>0</v>
      </c>
      <c r="N612">
        <f t="shared" si="39"/>
        <v>0</v>
      </c>
    </row>
    <row r="613" spans="1:14" x14ac:dyDescent="0.25">
      <c r="A613" t="str">
        <f>CONCATENATE("UI","_",F613,"_",C613)</f>
        <v>UI_01_Pa_01</v>
      </c>
      <c r="B613" t="s">
        <v>571</v>
      </c>
      <c r="C613" t="str">
        <f>VLOOKUP(A608,RN_BN!$A$3:$D$193,3,FALSE)</f>
        <v>Pa_01</v>
      </c>
      <c r="D613" t="e">
        <f>VLOOKUP(A608,RN_BN!$A$3:$D$193,4,FALSE)</f>
        <v>#N/A</v>
      </c>
      <c r="E613" t="e">
        <f>VLOOKUP(C613,RN_BN!$C$3:$F$193,4,FALSE)</f>
        <v>#N/A</v>
      </c>
      <c r="F613" s="22" t="s">
        <v>47</v>
      </c>
      <c r="G613" s="22"/>
      <c r="H613" s="22"/>
      <c r="L613" t="e">
        <f t="shared" si="37"/>
        <v>#N/A</v>
      </c>
      <c r="M613">
        <f t="shared" si="38"/>
        <v>0</v>
      </c>
      <c r="N613">
        <f t="shared" si="39"/>
        <v>0</v>
      </c>
    </row>
    <row r="614" spans="1:14" x14ac:dyDescent="0.25">
      <c r="L614" t="e">
        <f t="shared" si="37"/>
        <v>#N/A</v>
      </c>
      <c r="M614">
        <f t="shared" si="38"/>
        <v>0</v>
      </c>
      <c r="N614">
        <f t="shared" si="39"/>
        <v>0</v>
      </c>
    </row>
    <row r="615" spans="1:14" x14ac:dyDescent="0.25">
      <c r="A615" s="62" t="s">
        <v>162</v>
      </c>
      <c r="B615" s="158" t="s">
        <v>16</v>
      </c>
      <c r="C615" s="158"/>
      <c r="D615" s="158"/>
      <c r="E615" s="158"/>
      <c r="F615" s="158"/>
      <c r="G615" s="68"/>
      <c r="H615" s="68"/>
      <c r="L615" t="e">
        <f t="shared" si="37"/>
        <v>#N/A</v>
      </c>
      <c r="M615">
        <f t="shared" si="38"/>
        <v>0</v>
      </c>
      <c r="N615">
        <f t="shared" si="39"/>
        <v>0</v>
      </c>
    </row>
    <row r="616" spans="1:14" x14ac:dyDescent="0.25">
      <c r="A616" s="24" t="s">
        <v>95</v>
      </c>
      <c r="B616" s="156" t="s">
        <v>513</v>
      </c>
      <c r="C616" s="156"/>
      <c r="D616" s="156"/>
      <c r="E616" s="156"/>
      <c r="F616" s="156"/>
      <c r="G616" s="67"/>
      <c r="H616" s="67"/>
      <c r="L616" t="e">
        <f t="shared" si="37"/>
        <v>#N/A</v>
      </c>
      <c r="M616">
        <f t="shared" si="38"/>
        <v>0</v>
      </c>
      <c r="N616">
        <f t="shared" si="39"/>
        <v>0</v>
      </c>
    </row>
    <row r="617" spans="1:14" x14ac:dyDescent="0.25">
      <c r="A617" s="24" t="s">
        <v>484</v>
      </c>
      <c r="B617" s="156" t="s">
        <v>514</v>
      </c>
      <c r="C617" s="156"/>
      <c r="D617" s="156"/>
      <c r="E617" s="156"/>
      <c r="F617" s="156"/>
      <c r="G617" s="67"/>
      <c r="H617" s="67"/>
      <c r="L617" t="e">
        <f t="shared" si="37"/>
        <v>#N/A</v>
      </c>
      <c r="M617">
        <f t="shared" si="38"/>
        <v>0</v>
      </c>
      <c r="N617">
        <f t="shared" si="39"/>
        <v>0</v>
      </c>
    </row>
    <row r="618" spans="1:14" x14ac:dyDescent="0.25">
      <c r="A618" s="24" t="s">
        <v>148</v>
      </c>
      <c r="B618" s="156" t="s">
        <v>456</v>
      </c>
      <c r="C618" s="156"/>
      <c r="D618" s="156"/>
      <c r="E618" s="156"/>
      <c r="F618" s="156"/>
      <c r="G618" s="67"/>
      <c r="H618" s="67"/>
      <c r="L618" t="e">
        <f t="shared" si="37"/>
        <v>#N/A</v>
      </c>
      <c r="M618">
        <f t="shared" si="38"/>
        <v>0</v>
      </c>
      <c r="N618">
        <f t="shared" si="39"/>
        <v>0</v>
      </c>
    </row>
    <row r="619" spans="1:14" x14ac:dyDescent="0.25">
      <c r="A619" s="24" t="s">
        <v>457</v>
      </c>
      <c r="B619" s="156" t="s">
        <v>458</v>
      </c>
      <c r="C619" s="156"/>
      <c r="D619" s="156"/>
      <c r="E619" s="156"/>
      <c r="F619" s="156"/>
      <c r="G619" s="67"/>
      <c r="H619" s="67"/>
      <c r="L619" t="e">
        <f t="shared" si="37"/>
        <v>#N/A</v>
      </c>
      <c r="M619">
        <f t="shared" si="38"/>
        <v>0</v>
      </c>
      <c r="N619">
        <f t="shared" si="39"/>
        <v>0</v>
      </c>
    </row>
    <row r="620" spans="1:14" x14ac:dyDescent="0.25">
      <c r="A620" s="24" t="s">
        <v>515</v>
      </c>
      <c r="B620" s="156" t="s">
        <v>582</v>
      </c>
      <c r="C620" s="156"/>
      <c r="D620" s="156"/>
      <c r="E620" s="156"/>
      <c r="F620" s="156"/>
      <c r="G620" s="67"/>
      <c r="H620" s="67"/>
      <c r="L620" t="e">
        <f t="shared" si="37"/>
        <v>#N/A</v>
      </c>
      <c r="M620">
        <f t="shared" si="38"/>
        <v>0</v>
      </c>
      <c r="N620">
        <f t="shared" si="39"/>
        <v>0</v>
      </c>
    </row>
    <row r="621" spans="1:14" x14ac:dyDescent="0.25">
      <c r="A621" s="24" t="s">
        <v>503</v>
      </c>
      <c r="B621" s="156" t="s">
        <v>535</v>
      </c>
      <c r="C621" s="156"/>
      <c r="D621" s="156"/>
      <c r="E621" s="156"/>
      <c r="F621" s="156"/>
      <c r="G621" s="67"/>
      <c r="H621" s="67"/>
      <c r="L621" t="e">
        <f t="shared" si="37"/>
        <v>#N/A</v>
      </c>
      <c r="M621">
        <f t="shared" si="38"/>
        <v>0</v>
      </c>
      <c r="N621">
        <f t="shared" si="39"/>
        <v>0</v>
      </c>
    </row>
    <row r="622" spans="1:14" x14ac:dyDescent="0.25">
      <c r="A622" s="24" t="s">
        <v>95</v>
      </c>
      <c r="B622" s="156" t="s">
        <v>583</v>
      </c>
      <c r="C622" s="156"/>
      <c r="D622" s="156"/>
      <c r="E622" s="156"/>
      <c r="F622" s="156"/>
      <c r="G622" s="67"/>
      <c r="H622" s="67"/>
      <c r="L622" t="e">
        <f t="shared" si="37"/>
        <v>#N/A</v>
      </c>
      <c r="M622">
        <f t="shared" si="38"/>
        <v>0</v>
      </c>
      <c r="N622">
        <f t="shared" si="39"/>
        <v>0</v>
      </c>
    </row>
    <row r="623" spans="1:14" x14ac:dyDescent="0.25">
      <c r="A623" s="24" t="s">
        <v>96</v>
      </c>
      <c r="B623" s="156" t="s">
        <v>514</v>
      </c>
      <c r="C623" s="156"/>
      <c r="D623" s="156"/>
      <c r="E623" s="156"/>
      <c r="F623" s="156"/>
      <c r="G623" s="67"/>
      <c r="H623" s="67"/>
      <c r="L623" t="e">
        <f t="shared" si="37"/>
        <v>#N/A</v>
      </c>
      <c r="M623">
        <f t="shared" si="38"/>
        <v>0</v>
      </c>
      <c r="N623">
        <f t="shared" si="39"/>
        <v>0</v>
      </c>
    </row>
    <row r="624" spans="1:14" x14ac:dyDescent="0.25">
      <c r="A624" s="24" t="s">
        <v>573</v>
      </c>
      <c r="B624" s="156" t="s">
        <v>506</v>
      </c>
      <c r="C624" s="156"/>
      <c r="D624" s="156"/>
      <c r="E624" s="156"/>
      <c r="F624" s="156"/>
      <c r="G624" s="67"/>
      <c r="H624" s="67"/>
      <c r="L624" t="e">
        <f t="shared" si="37"/>
        <v>#N/A</v>
      </c>
      <c r="M624">
        <f t="shared" si="38"/>
        <v>0</v>
      </c>
      <c r="N624">
        <f t="shared" si="39"/>
        <v>0</v>
      </c>
    </row>
    <row r="625" spans="1:14" x14ac:dyDescent="0.25">
      <c r="A625" s="24" t="s">
        <v>577</v>
      </c>
      <c r="B625" s="162" t="s">
        <v>584</v>
      </c>
      <c r="C625" s="156"/>
      <c r="D625" s="156"/>
      <c r="E625" s="156"/>
      <c r="F625" s="156"/>
      <c r="G625" s="67"/>
      <c r="H625" s="67"/>
      <c r="L625" t="e">
        <f t="shared" si="37"/>
        <v>#N/A</v>
      </c>
      <c r="M625">
        <f t="shared" si="38"/>
        <v>0</v>
      </c>
      <c r="N625">
        <f t="shared" si="39"/>
        <v>0</v>
      </c>
    </row>
    <row r="626" spans="1:14" x14ac:dyDescent="0.25">
      <c r="A626" s="24" t="s">
        <v>572</v>
      </c>
      <c r="B626" s="156" t="s">
        <v>585</v>
      </c>
      <c r="C626" s="156"/>
      <c r="D626" s="156"/>
      <c r="E626" s="156"/>
      <c r="F626" s="156"/>
      <c r="G626" s="67"/>
      <c r="H626" s="67"/>
      <c r="L626" t="e">
        <f t="shared" si="37"/>
        <v>#N/A</v>
      </c>
      <c r="M626">
        <f t="shared" si="38"/>
        <v>0</v>
      </c>
      <c r="N626">
        <f t="shared" si="39"/>
        <v>0</v>
      </c>
    </row>
    <row r="627" spans="1:14" x14ac:dyDescent="0.25">
      <c r="A627" s="3"/>
      <c r="B627" s="67"/>
      <c r="C627" s="67"/>
      <c r="D627" s="67"/>
      <c r="E627" s="67"/>
      <c r="F627" s="67"/>
      <c r="G627" s="67"/>
      <c r="H627" s="67"/>
      <c r="L627" t="e">
        <f t="shared" si="37"/>
        <v>#N/A</v>
      </c>
      <c r="M627">
        <f t="shared" si="38"/>
        <v>0</v>
      </c>
      <c r="N627">
        <f t="shared" si="39"/>
        <v>0</v>
      </c>
    </row>
    <row r="628" spans="1:14" x14ac:dyDescent="0.25">
      <c r="A628" s="62" t="s">
        <v>163</v>
      </c>
      <c r="B628" s="158" t="s">
        <v>16</v>
      </c>
      <c r="C628" s="158"/>
      <c r="D628" s="158"/>
      <c r="E628" s="158"/>
      <c r="F628" s="158"/>
      <c r="G628" s="68"/>
      <c r="H628" s="68"/>
      <c r="L628" t="e">
        <f t="shared" si="37"/>
        <v>#N/A</v>
      </c>
      <c r="M628">
        <f t="shared" si="38"/>
        <v>0</v>
      </c>
      <c r="N628">
        <f t="shared" si="39"/>
        <v>0</v>
      </c>
    </row>
    <row r="629" spans="1:14" x14ac:dyDescent="0.25">
      <c r="A629" s="24" t="s">
        <v>604</v>
      </c>
      <c r="B629" s="161" t="s">
        <v>519</v>
      </c>
      <c r="C629" s="161"/>
      <c r="D629" s="161"/>
      <c r="E629" s="161"/>
      <c r="F629" s="161"/>
      <c r="G629" s="69"/>
      <c r="H629" s="69"/>
      <c r="L629" t="e">
        <f t="shared" si="37"/>
        <v>#N/A</v>
      </c>
      <c r="M629">
        <f t="shared" si="38"/>
        <v>0</v>
      </c>
      <c r="N629">
        <f t="shared" si="39"/>
        <v>0</v>
      </c>
    </row>
    <row r="630" spans="1:14" x14ac:dyDescent="0.25">
      <c r="A630" s="24" t="s">
        <v>580</v>
      </c>
      <c r="B630" s="161" t="s">
        <v>581</v>
      </c>
      <c r="C630" s="161"/>
      <c r="D630" s="161"/>
      <c r="E630" s="161"/>
      <c r="F630" s="161"/>
      <c r="G630" s="69"/>
      <c r="H630" s="69"/>
      <c r="L630" t="e">
        <f t="shared" si="37"/>
        <v>#N/A</v>
      </c>
      <c r="M630">
        <f t="shared" si="38"/>
        <v>0</v>
      </c>
      <c r="N630">
        <f t="shared" si="39"/>
        <v>0</v>
      </c>
    </row>
    <row r="631" spans="1:14" x14ac:dyDescent="0.25">
      <c r="L631" t="e">
        <f t="shared" si="37"/>
        <v>#N/A</v>
      </c>
      <c r="M631">
        <f t="shared" si="38"/>
        <v>0</v>
      </c>
      <c r="N631">
        <f t="shared" si="39"/>
        <v>0</v>
      </c>
    </row>
    <row r="632" spans="1:14" x14ac:dyDescent="0.25">
      <c r="L632" t="e">
        <f t="shared" si="37"/>
        <v>#N/A</v>
      </c>
      <c r="M632">
        <f t="shared" si="38"/>
        <v>0</v>
      </c>
      <c r="N632">
        <f t="shared" si="39"/>
        <v>0</v>
      </c>
    </row>
    <row r="633" spans="1:14" x14ac:dyDescent="0.25">
      <c r="L633" t="e">
        <f t="shared" si="37"/>
        <v>#N/A</v>
      </c>
      <c r="M633">
        <f t="shared" si="38"/>
        <v>0</v>
      </c>
      <c r="N633">
        <f t="shared" si="39"/>
        <v>0</v>
      </c>
    </row>
    <row r="634" spans="1:14" x14ac:dyDescent="0.25">
      <c r="A634" s="159" t="s">
        <v>19</v>
      </c>
      <c r="B634" s="159"/>
      <c r="C634" s="159"/>
      <c r="D634" s="159"/>
      <c r="E634" s="159"/>
      <c r="F634" s="159"/>
      <c r="G634" s="65"/>
      <c r="H634" s="65"/>
      <c r="L634" t="e">
        <f t="shared" si="37"/>
        <v>#N/A</v>
      </c>
      <c r="M634">
        <f t="shared" si="38"/>
        <v>0</v>
      </c>
      <c r="N634">
        <f t="shared" si="39"/>
        <v>0</v>
      </c>
    </row>
    <row r="635" spans="1:14" x14ac:dyDescent="0.25">
      <c r="A635" s="62" t="s">
        <v>15</v>
      </c>
      <c r="B635" s="157" t="s">
        <v>14</v>
      </c>
      <c r="C635" s="157"/>
      <c r="D635" s="157"/>
      <c r="E635" s="157"/>
      <c r="F635" s="157"/>
      <c r="G635" s="62" t="s">
        <v>15</v>
      </c>
      <c r="H635" s="62" t="s">
        <v>16</v>
      </c>
      <c r="L635" t="e">
        <f t="shared" si="37"/>
        <v>#N/A</v>
      </c>
      <c r="M635">
        <f t="shared" si="38"/>
        <v>0</v>
      </c>
      <c r="N635">
        <f t="shared" si="39"/>
        <v>0</v>
      </c>
    </row>
    <row r="636" spans="1:14" x14ac:dyDescent="0.25">
      <c r="A636" t="s">
        <v>710</v>
      </c>
      <c r="B636" s="160" t="e">
        <f>VLOOKUP(A636,RN_BN!$A$3:$D$193,2,FALSE)</f>
        <v>#N/A</v>
      </c>
      <c r="C636" s="160"/>
      <c r="D636" s="160"/>
      <c r="E636" s="160"/>
      <c r="F636" s="160"/>
      <c r="G636" t="e">
        <f>A640</f>
        <v>#N/A</v>
      </c>
      <c r="H636" t="s">
        <v>711</v>
      </c>
      <c r="L636" t="str">
        <f t="shared" si="37"/>
        <v>Co_02_05</v>
      </c>
      <c r="M636" t="e">
        <f t="shared" si="38"/>
        <v>#N/A</v>
      </c>
      <c r="N636" t="str">
        <f t="shared" si="39"/>
        <v>Órden de Cocina-Bar</v>
      </c>
    </row>
    <row r="637" spans="1:14" x14ac:dyDescent="0.25">
      <c r="L637" t="e">
        <f t="shared" ref="L637:L682" si="40">IF(VLOOKUP(A637,$K$3:$K$82,1,FALSE)=A637,A637)</f>
        <v>#N/A</v>
      </c>
      <c r="M637">
        <f t="shared" si="38"/>
        <v>0</v>
      </c>
      <c r="N637">
        <f t="shared" si="39"/>
        <v>0</v>
      </c>
    </row>
    <row r="638" spans="1:14" x14ac:dyDescent="0.25">
      <c r="A638" s="157" t="s">
        <v>143</v>
      </c>
      <c r="B638" s="157"/>
      <c r="C638" s="157" t="s">
        <v>18</v>
      </c>
      <c r="D638" s="157"/>
      <c r="E638" s="157"/>
      <c r="F638" s="157"/>
      <c r="G638" s="63"/>
      <c r="H638" s="63"/>
      <c r="L638" t="e">
        <f t="shared" si="40"/>
        <v>#N/A</v>
      </c>
      <c r="M638">
        <f t="shared" si="38"/>
        <v>0</v>
      </c>
      <c r="N638">
        <f t="shared" si="39"/>
        <v>0</v>
      </c>
    </row>
    <row r="639" spans="1:14" x14ac:dyDescent="0.25">
      <c r="A639" s="62" t="s">
        <v>15</v>
      </c>
      <c r="B639" s="62" t="s">
        <v>16</v>
      </c>
      <c r="C639" s="62" t="s">
        <v>15</v>
      </c>
      <c r="D639" s="62" t="s">
        <v>14</v>
      </c>
      <c r="E639" s="62" t="s">
        <v>8</v>
      </c>
      <c r="F639" s="62" t="s">
        <v>142</v>
      </c>
      <c r="G639" s="62"/>
      <c r="H639" s="62"/>
      <c r="L639" t="e">
        <f t="shared" si="40"/>
        <v>#N/A</v>
      </c>
      <c r="M639">
        <f t="shared" si="38"/>
        <v>0</v>
      </c>
      <c r="N639">
        <f t="shared" si="39"/>
        <v>0</v>
      </c>
    </row>
    <row r="640" spans="1:14" x14ac:dyDescent="0.25">
      <c r="A640" t="e">
        <f>CONCATENATE("UI","_",F640,"_",C640)</f>
        <v>#N/A</v>
      </c>
      <c r="B640" t="s">
        <v>785</v>
      </c>
      <c r="C640" t="e">
        <f>VLOOKUP(A636,RN_BN!$A$3:$D$193,3,FALSE)</f>
        <v>#N/A</v>
      </c>
      <c r="D640" t="e">
        <f>VLOOKUP(A636,RN_BN!$A$3:$D$193,4,FALSE)</f>
        <v>#N/A</v>
      </c>
      <c r="E640" t="e">
        <f>VLOOKUP(C640,RN_BN!$C$3:$F$193,4,FALSE)</f>
        <v>#N/A</v>
      </c>
      <c r="F640" s="22" t="s">
        <v>49</v>
      </c>
      <c r="G640" s="22"/>
      <c r="H640" s="22"/>
      <c r="L640" t="e">
        <f t="shared" si="40"/>
        <v>#N/A</v>
      </c>
      <c r="M640">
        <f t="shared" si="38"/>
        <v>0</v>
      </c>
      <c r="N640">
        <f t="shared" si="39"/>
        <v>0</v>
      </c>
    </row>
    <row r="641" spans="1:14" x14ac:dyDescent="0.25">
      <c r="L641" t="e">
        <f t="shared" si="40"/>
        <v>#N/A</v>
      </c>
      <c r="M641">
        <f t="shared" si="38"/>
        <v>0</v>
      </c>
      <c r="N641">
        <f t="shared" si="39"/>
        <v>0</v>
      </c>
    </row>
    <row r="642" spans="1:14" x14ac:dyDescent="0.25">
      <c r="A642" s="62" t="s">
        <v>162</v>
      </c>
      <c r="B642" s="158" t="s">
        <v>16</v>
      </c>
      <c r="C642" s="158"/>
      <c r="D642" s="158"/>
      <c r="E642" s="158"/>
      <c r="F642" s="158"/>
      <c r="G642" s="68"/>
      <c r="H642" s="68"/>
      <c r="L642" t="e">
        <f t="shared" si="40"/>
        <v>#N/A</v>
      </c>
      <c r="M642">
        <f t="shared" si="38"/>
        <v>0</v>
      </c>
      <c r="N642">
        <f t="shared" si="39"/>
        <v>0</v>
      </c>
    </row>
    <row r="643" spans="1:14" x14ac:dyDescent="0.25">
      <c r="A643" s="24" t="s">
        <v>484</v>
      </c>
      <c r="B643" s="156" t="s">
        <v>714</v>
      </c>
      <c r="C643" s="156"/>
      <c r="D643" s="156"/>
      <c r="E643" s="156"/>
      <c r="F643" s="156"/>
      <c r="G643" s="67"/>
      <c r="H643" s="67"/>
      <c r="L643" t="e">
        <f t="shared" si="40"/>
        <v>#N/A</v>
      </c>
      <c r="M643">
        <f t="shared" ref="M643:M688" si="41">IF(ISNA(L643),,G643)</f>
        <v>0</v>
      </c>
      <c r="N643">
        <f t="shared" si="39"/>
        <v>0</v>
      </c>
    </row>
    <row r="644" spans="1:14" x14ac:dyDescent="0.25">
      <c r="A644" s="24" t="s">
        <v>484</v>
      </c>
      <c r="B644" s="156" t="s">
        <v>715</v>
      </c>
      <c r="C644" s="156"/>
      <c r="D644" s="156"/>
      <c r="E644" s="156"/>
      <c r="F644" s="156"/>
      <c r="G644" s="67"/>
      <c r="H644" s="67"/>
      <c r="L644" t="e">
        <f t="shared" si="40"/>
        <v>#N/A</v>
      </c>
      <c r="M644">
        <f t="shared" si="41"/>
        <v>0</v>
      </c>
      <c r="N644">
        <f t="shared" si="39"/>
        <v>0</v>
      </c>
    </row>
    <row r="645" spans="1:14" x14ac:dyDescent="0.25">
      <c r="A645" s="24" t="s">
        <v>95</v>
      </c>
      <c r="B645" s="156" t="s">
        <v>716</v>
      </c>
      <c r="C645" s="156"/>
      <c r="D645" s="156"/>
      <c r="E645" s="156"/>
      <c r="F645" s="156"/>
      <c r="G645" s="67"/>
      <c r="H645" s="67"/>
      <c r="L645" t="e">
        <f t="shared" si="40"/>
        <v>#N/A</v>
      </c>
      <c r="M645">
        <f t="shared" si="41"/>
        <v>0</v>
      </c>
      <c r="N645">
        <f t="shared" si="39"/>
        <v>0</v>
      </c>
    </row>
    <row r="646" spans="1:14" x14ac:dyDescent="0.25">
      <c r="A646" s="24" t="s">
        <v>96</v>
      </c>
      <c r="B646" s="156" t="s">
        <v>717</v>
      </c>
      <c r="C646" s="156"/>
      <c r="D646" s="156"/>
      <c r="E646" s="156"/>
      <c r="F646" s="156"/>
      <c r="G646" s="67"/>
      <c r="H646" s="67"/>
      <c r="L646" t="e">
        <f t="shared" si="40"/>
        <v>#N/A</v>
      </c>
      <c r="M646">
        <f t="shared" si="41"/>
        <v>0</v>
      </c>
      <c r="N646">
        <f t="shared" si="39"/>
        <v>0</v>
      </c>
    </row>
    <row r="647" spans="1:14" x14ac:dyDescent="0.25">
      <c r="A647" s="24" t="s">
        <v>712</v>
      </c>
      <c r="B647" s="156" t="s">
        <v>718</v>
      </c>
      <c r="C647" s="156"/>
      <c r="D647" s="156"/>
      <c r="E647" s="156"/>
      <c r="F647" s="156"/>
      <c r="G647" s="67"/>
      <c r="H647" s="67"/>
      <c r="L647" t="e">
        <f t="shared" si="40"/>
        <v>#N/A</v>
      </c>
      <c r="M647">
        <f t="shared" si="41"/>
        <v>0</v>
      </c>
      <c r="N647">
        <f t="shared" si="39"/>
        <v>0</v>
      </c>
    </row>
    <row r="648" spans="1:14" x14ac:dyDescent="0.25">
      <c r="A648" s="24" t="s">
        <v>661</v>
      </c>
      <c r="B648" s="162" t="s">
        <v>719</v>
      </c>
      <c r="C648" s="156"/>
      <c r="D648" s="156"/>
      <c r="E648" s="156"/>
      <c r="F648" s="156"/>
      <c r="G648" s="67"/>
      <c r="H648" s="67"/>
      <c r="L648" t="e">
        <f t="shared" si="40"/>
        <v>#N/A</v>
      </c>
      <c r="M648">
        <f t="shared" si="41"/>
        <v>0</v>
      </c>
      <c r="N648">
        <f t="shared" si="39"/>
        <v>0</v>
      </c>
    </row>
    <row r="649" spans="1:14" x14ac:dyDescent="0.25">
      <c r="A649" s="3"/>
      <c r="B649" s="67"/>
      <c r="C649" s="67"/>
      <c r="D649" s="67"/>
      <c r="E649" s="67"/>
      <c r="F649" s="67"/>
      <c r="G649" s="67"/>
      <c r="H649" s="67"/>
      <c r="L649" t="e">
        <f t="shared" si="40"/>
        <v>#N/A</v>
      </c>
      <c r="M649">
        <f t="shared" si="41"/>
        <v>0</v>
      </c>
      <c r="N649">
        <f t="shared" si="39"/>
        <v>0</v>
      </c>
    </row>
    <row r="650" spans="1:14" x14ac:dyDescent="0.25">
      <c r="A650" s="62" t="s">
        <v>163</v>
      </c>
      <c r="B650" s="158" t="s">
        <v>16</v>
      </c>
      <c r="C650" s="158"/>
      <c r="D650" s="158"/>
      <c r="E650" s="158"/>
      <c r="F650" s="158"/>
      <c r="G650" s="68"/>
      <c r="H650" s="68"/>
      <c r="L650" t="e">
        <f t="shared" si="40"/>
        <v>#N/A</v>
      </c>
      <c r="M650">
        <f t="shared" si="41"/>
        <v>0</v>
      </c>
      <c r="N650">
        <f t="shared" si="39"/>
        <v>0</v>
      </c>
    </row>
    <row r="651" spans="1:14" x14ac:dyDescent="0.25">
      <c r="A651" s="24" t="s">
        <v>713</v>
      </c>
      <c r="B651" s="161" t="s">
        <v>720</v>
      </c>
      <c r="C651" s="161"/>
      <c r="D651" s="161"/>
      <c r="E651" s="161"/>
      <c r="F651" s="161"/>
      <c r="G651" s="69"/>
      <c r="H651" s="69"/>
      <c r="L651" t="e">
        <f t="shared" si="40"/>
        <v>#N/A</v>
      </c>
      <c r="M651">
        <f t="shared" si="41"/>
        <v>0</v>
      </c>
      <c r="N651">
        <f t="shared" si="39"/>
        <v>0</v>
      </c>
    </row>
    <row r="652" spans="1:14" x14ac:dyDescent="0.25">
      <c r="L652" t="e">
        <f t="shared" si="40"/>
        <v>#N/A</v>
      </c>
      <c r="M652">
        <f t="shared" si="41"/>
        <v>0</v>
      </c>
      <c r="N652">
        <f t="shared" ref="N652:N682" si="42">IF(ISNA(L652),,H652)</f>
        <v>0</v>
      </c>
    </row>
    <row r="653" spans="1:14" x14ac:dyDescent="0.25">
      <c r="L653" t="e">
        <f t="shared" si="40"/>
        <v>#N/A</v>
      </c>
      <c r="M653">
        <f t="shared" si="41"/>
        <v>0</v>
      </c>
      <c r="N653">
        <f t="shared" si="42"/>
        <v>0</v>
      </c>
    </row>
    <row r="654" spans="1:14" x14ac:dyDescent="0.25">
      <c r="L654" t="e">
        <f t="shared" si="40"/>
        <v>#N/A</v>
      </c>
      <c r="M654">
        <f t="shared" si="41"/>
        <v>0</v>
      </c>
      <c r="N654">
        <f t="shared" si="42"/>
        <v>0</v>
      </c>
    </row>
    <row r="655" spans="1:14" x14ac:dyDescent="0.25">
      <c r="A655" s="159" t="s">
        <v>19</v>
      </c>
      <c r="B655" s="159"/>
      <c r="C655" s="159"/>
      <c r="D655" s="159"/>
      <c r="E655" s="159"/>
      <c r="F655" s="159"/>
      <c r="G655" s="65"/>
      <c r="H655" s="65"/>
      <c r="L655" t="e">
        <f t="shared" si="40"/>
        <v>#N/A</v>
      </c>
      <c r="M655">
        <f t="shared" si="41"/>
        <v>0</v>
      </c>
      <c r="N655">
        <f t="shared" si="42"/>
        <v>0</v>
      </c>
    </row>
    <row r="656" spans="1:14" x14ac:dyDescent="0.25">
      <c r="A656" s="62" t="s">
        <v>15</v>
      </c>
      <c r="B656" s="157" t="s">
        <v>14</v>
      </c>
      <c r="C656" s="157"/>
      <c r="D656" s="157"/>
      <c r="E656" s="157"/>
      <c r="F656" s="157"/>
      <c r="G656" s="62" t="s">
        <v>15</v>
      </c>
      <c r="H656" s="62" t="s">
        <v>16</v>
      </c>
      <c r="L656" t="e">
        <f t="shared" si="40"/>
        <v>#N/A</v>
      </c>
      <c r="M656">
        <f t="shared" si="41"/>
        <v>0</v>
      </c>
      <c r="N656">
        <f t="shared" si="42"/>
        <v>0</v>
      </c>
    </row>
    <row r="657" spans="1:14" x14ac:dyDescent="0.25">
      <c r="A657" t="s">
        <v>710</v>
      </c>
      <c r="B657" s="160" t="e">
        <f>VLOOKUP(A657,RN_BN!$A$3:$D$193,2,FALSE)</f>
        <v>#N/A</v>
      </c>
      <c r="C657" s="160"/>
      <c r="D657" s="160"/>
      <c r="E657" s="160"/>
      <c r="F657" s="160"/>
      <c r="G657" t="e">
        <f>A661</f>
        <v>#N/A</v>
      </c>
      <c r="H657" t="s">
        <v>711</v>
      </c>
      <c r="L657" t="str">
        <f t="shared" si="40"/>
        <v>Co_02_05</v>
      </c>
      <c r="M657" t="e">
        <f t="shared" si="41"/>
        <v>#N/A</v>
      </c>
      <c r="N657" t="str">
        <f t="shared" si="42"/>
        <v>Órden de Cocina-Bar</v>
      </c>
    </row>
    <row r="658" spans="1:14" x14ac:dyDescent="0.25">
      <c r="L658" t="e">
        <f t="shared" si="40"/>
        <v>#N/A</v>
      </c>
      <c r="M658">
        <f t="shared" si="41"/>
        <v>0</v>
      </c>
      <c r="N658">
        <f t="shared" si="42"/>
        <v>0</v>
      </c>
    </row>
    <row r="659" spans="1:14" x14ac:dyDescent="0.25">
      <c r="A659" s="157" t="s">
        <v>143</v>
      </c>
      <c r="B659" s="157"/>
      <c r="C659" s="157" t="s">
        <v>18</v>
      </c>
      <c r="D659" s="157"/>
      <c r="E659" s="157"/>
      <c r="F659" s="157"/>
      <c r="G659" s="63"/>
      <c r="H659" s="63"/>
      <c r="L659" t="e">
        <f t="shared" si="40"/>
        <v>#N/A</v>
      </c>
      <c r="M659">
        <f t="shared" si="41"/>
        <v>0</v>
      </c>
      <c r="N659">
        <f t="shared" si="42"/>
        <v>0</v>
      </c>
    </row>
    <row r="660" spans="1:14" x14ac:dyDescent="0.25">
      <c r="A660" s="62" t="s">
        <v>15</v>
      </c>
      <c r="B660" s="62" t="s">
        <v>16</v>
      </c>
      <c r="C660" s="62" t="s">
        <v>15</v>
      </c>
      <c r="D660" s="62" t="s">
        <v>14</v>
      </c>
      <c r="E660" s="62" t="s">
        <v>8</v>
      </c>
      <c r="F660" s="62" t="s">
        <v>142</v>
      </c>
      <c r="G660" s="62"/>
      <c r="H660" s="62"/>
      <c r="L660" t="e">
        <f t="shared" si="40"/>
        <v>#N/A</v>
      </c>
      <c r="M660">
        <f t="shared" si="41"/>
        <v>0</v>
      </c>
      <c r="N660">
        <f t="shared" si="42"/>
        <v>0</v>
      </c>
    </row>
    <row r="661" spans="1:14" x14ac:dyDescent="0.25">
      <c r="A661" t="e">
        <f>CONCATENATE("UI","_",F661,"_",C661)</f>
        <v>#N/A</v>
      </c>
      <c r="B661" t="s">
        <v>786</v>
      </c>
      <c r="C661" t="e">
        <f>VLOOKUP(A657,RN_BN!$A$3:$D$193,3,FALSE)</f>
        <v>#N/A</v>
      </c>
      <c r="D661" t="e">
        <f>VLOOKUP(A657,RN_BN!$A$3:$D$193,4,FALSE)</f>
        <v>#N/A</v>
      </c>
      <c r="E661" t="e">
        <f>VLOOKUP(C661,RN_BN!$C$3:$F$193,4,FALSE)</f>
        <v>#N/A</v>
      </c>
      <c r="F661" s="22" t="s">
        <v>50</v>
      </c>
      <c r="G661" s="22"/>
      <c r="H661" s="22"/>
      <c r="L661" t="e">
        <f t="shared" si="40"/>
        <v>#N/A</v>
      </c>
      <c r="M661">
        <f t="shared" si="41"/>
        <v>0</v>
      </c>
      <c r="N661">
        <f t="shared" si="42"/>
        <v>0</v>
      </c>
    </row>
    <row r="662" spans="1:14" x14ac:dyDescent="0.25">
      <c r="L662" t="e">
        <f t="shared" si="40"/>
        <v>#N/A</v>
      </c>
      <c r="M662">
        <f t="shared" si="41"/>
        <v>0</v>
      </c>
      <c r="N662">
        <f t="shared" si="42"/>
        <v>0</v>
      </c>
    </row>
    <row r="663" spans="1:14" x14ac:dyDescent="0.25">
      <c r="A663" s="62" t="s">
        <v>162</v>
      </c>
      <c r="B663" s="158" t="s">
        <v>16</v>
      </c>
      <c r="C663" s="158"/>
      <c r="D663" s="158"/>
      <c r="E663" s="158"/>
      <c r="F663" s="158"/>
      <c r="G663" s="68"/>
      <c r="H663" s="68"/>
      <c r="L663" t="e">
        <f t="shared" si="40"/>
        <v>#N/A</v>
      </c>
      <c r="M663">
        <f t="shared" si="41"/>
        <v>0</v>
      </c>
      <c r="N663">
        <f t="shared" si="42"/>
        <v>0</v>
      </c>
    </row>
    <row r="664" spans="1:14" x14ac:dyDescent="0.25">
      <c r="A664" s="24" t="s">
        <v>148</v>
      </c>
      <c r="B664" s="156" t="s">
        <v>722</v>
      </c>
      <c r="C664" s="156"/>
      <c r="D664" s="156"/>
      <c r="E664" s="156"/>
      <c r="F664" s="156"/>
      <c r="G664" s="67"/>
      <c r="H664" s="67"/>
      <c r="L664" t="e">
        <f t="shared" si="40"/>
        <v>#N/A</v>
      </c>
      <c r="M664">
        <f t="shared" si="41"/>
        <v>0</v>
      </c>
      <c r="N664">
        <f t="shared" si="42"/>
        <v>0</v>
      </c>
    </row>
    <row r="665" spans="1:14" x14ac:dyDescent="0.25">
      <c r="A665" s="24" t="s">
        <v>721</v>
      </c>
      <c r="B665" s="156" t="s">
        <v>723</v>
      </c>
      <c r="C665" s="156"/>
      <c r="D665" s="156"/>
      <c r="E665" s="156"/>
      <c r="F665" s="156"/>
      <c r="G665" s="67"/>
      <c r="H665" s="67"/>
      <c r="L665" t="e">
        <f t="shared" si="40"/>
        <v>#N/A</v>
      </c>
      <c r="M665">
        <f t="shared" si="41"/>
        <v>0</v>
      </c>
      <c r="N665">
        <f t="shared" si="42"/>
        <v>0</v>
      </c>
    </row>
    <row r="666" spans="1:14" x14ac:dyDescent="0.25">
      <c r="A666" s="24" t="s">
        <v>267</v>
      </c>
      <c r="B666" s="156" t="s">
        <v>724</v>
      </c>
      <c r="C666" s="156"/>
      <c r="D666" s="156"/>
      <c r="E666" s="156"/>
      <c r="F666" s="156"/>
      <c r="G666" s="67"/>
      <c r="H666" s="67"/>
      <c r="L666" t="e">
        <f t="shared" si="40"/>
        <v>#N/A</v>
      </c>
      <c r="M666">
        <f t="shared" si="41"/>
        <v>0</v>
      </c>
      <c r="N666">
        <f t="shared" si="42"/>
        <v>0</v>
      </c>
    </row>
    <row r="667" spans="1:14" x14ac:dyDescent="0.25">
      <c r="A667" s="24" t="s">
        <v>92</v>
      </c>
      <c r="B667" s="156" t="s">
        <v>725</v>
      </c>
      <c r="C667" s="156"/>
      <c r="D667" s="156"/>
      <c r="E667" s="156"/>
      <c r="F667" s="156"/>
      <c r="G667" s="67"/>
      <c r="H667" s="67"/>
      <c r="L667" t="e">
        <f t="shared" si="40"/>
        <v>#N/A</v>
      </c>
      <c r="M667">
        <f t="shared" si="41"/>
        <v>0</v>
      </c>
      <c r="N667">
        <f t="shared" si="42"/>
        <v>0</v>
      </c>
    </row>
    <row r="668" spans="1:14" x14ac:dyDescent="0.25">
      <c r="A668" s="3"/>
      <c r="B668" s="67"/>
      <c r="C668" s="67"/>
      <c r="D668" s="67"/>
      <c r="E668" s="67"/>
      <c r="F668" s="67"/>
      <c r="G668" s="67"/>
      <c r="H668" s="67"/>
      <c r="L668" t="e">
        <f t="shared" si="40"/>
        <v>#N/A</v>
      </c>
      <c r="M668">
        <f t="shared" si="41"/>
        <v>0</v>
      </c>
      <c r="N668">
        <f t="shared" si="42"/>
        <v>0</v>
      </c>
    </row>
    <row r="669" spans="1:14" x14ac:dyDescent="0.25">
      <c r="A669" s="62" t="s">
        <v>163</v>
      </c>
      <c r="B669" s="158" t="s">
        <v>16</v>
      </c>
      <c r="C669" s="158"/>
      <c r="D669" s="158"/>
      <c r="E669" s="158"/>
      <c r="F669" s="158"/>
      <c r="G669" s="68"/>
      <c r="H669" s="68"/>
      <c r="L669" t="e">
        <f t="shared" si="40"/>
        <v>#N/A</v>
      </c>
      <c r="M669">
        <f t="shared" si="41"/>
        <v>0</v>
      </c>
      <c r="N669">
        <f t="shared" si="42"/>
        <v>0</v>
      </c>
    </row>
    <row r="670" spans="1:14" x14ac:dyDescent="0.25">
      <c r="A670" s="24" t="s">
        <v>726</v>
      </c>
      <c r="B670" s="161" t="s">
        <v>727</v>
      </c>
      <c r="C670" s="161"/>
      <c r="D670" s="161"/>
      <c r="E670" s="161"/>
      <c r="F670" s="161"/>
      <c r="G670" s="69"/>
      <c r="H670" s="69"/>
      <c r="L670" t="e">
        <f t="shared" si="40"/>
        <v>#N/A</v>
      </c>
      <c r="M670">
        <f t="shared" si="41"/>
        <v>0</v>
      </c>
      <c r="N670">
        <f t="shared" si="42"/>
        <v>0</v>
      </c>
    </row>
    <row r="671" spans="1:14" x14ac:dyDescent="0.25">
      <c r="L671" t="e">
        <f t="shared" si="40"/>
        <v>#N/A</v>
      </c>
      <c r="M671">
        <f t="shared" si="41"/>
        <v>0</v>
      </c>
      <c r="N671">
        <f t="shared" si="42"/>
        <v>0</v>
      </c>
    </row>
    <row r="672" spans="1:14" x14ac:dyDescent="0.25">
      <c r="L672" t="e">
        <f t="shared" si="40"/>
        <v>#N/A</v>
      </c>
      <c r="M672">
        <f t="shared" si="41"/>
        <v>0</v>
      </c>
      <c r="N672">
        <f t="shared" si="42"/>
        <v>0</v>
      </c>
    </row>
    <row r="673" spans="1:14" x14ac:dyDescent="0.25">
      <c r="L673" t="e">
        <f t="shared" si="40"/>
        <v>#N/A</v>
      </c>
      <c r="M673">
        <f t="shared" si="41"/>
        <v>0</v>
      </c>
      <c r="N673">
        <f t="shared" si="42"/>
        <v>0</v>
      </c>
    </row>
    <row r="674" spans="1:14" x14ac:dyDescent="0.25">
      <c r="A674" s="159" t="s">
        <v>19</v>
      </c>
      <c r="B674" s="159"/>
      <c r="C674" s="159"/>
      <c r="D674" s="159"/>
      <c r="E674" s="159"/>
      <c r="F674" s="159"/>
      <c r="G674" s="65"/>
      <c r="H674" s="65"/>
      <c r="L674" t="e">
        <f t="shared" si="40"/>
        <v>#N/A</v>
      </c>
      <c r="M674">
        <f t="shared" si="41"/>
        <v>0</v>
      </c>
      <c r="N674">
        <f t="shared" si="42"/>
        <v>0</v>
      </c>
    </row>
    <row r="675" spans="1:14" x14ac:dyDescent="0.25">
      <c r="A675" s="62" t="s">
        <v>15</v>
      </c>
      <c r="B675" s="157" t="s">
        <v>14</v>
      </c>
      <c r="C675" s="157"/>
      <c r="D675" s="157"/>
      <c r="E675" s="157"/>
      <c r="F675" s="157"/>
      <c r="G675" s="62" t="s">
        <v>15</v>
      </c>
      <c r="H675" s="62" t="s">
        <v>16</v>
      </c>
      <c r="L675" t="e">
        <f t="shared" si="40"/>
        <v>#N/A</v>
      </c>
      <c r="M675">
        <f t="shared" si="41"/>
        <v>0</v>
      </c>
      <c r="N675">
        <f t="shared" si="42"/>
        <v>0</v>
      </c>
    </row>
    <row r="676" spans="1:14" x14ac:dyDescent="0.25">
      <c r="A676" t="s">
        <v>747</v>
      </c>
      <c r="B676" s="160" t="e">
        <f>VLOOKUP(A676,RN_BN!$A$3:$D$193,2,FALSE)</f>
        <v>#N/A</v>
      </c>
      <c r="C676" s="160"/>
      <c r="D676" s="160"/>
      <c r="E676" s="160"/>
      <c r="F676" s="160"/>
      <c r="G676" s="66" t="e">
        <f>$A$682</f>
        <v>#N/A</v>
      </c>
      <c r="H676" t="s">
        <v>774</v>
      </c>
      <c r="L676" t="str">
        <f t="shared" si="40"/>
        <v>Co_02_07</v>
      </c>
      <c r="M676" t="e">
        <f t="shared" si="41"/>
        <v>#N/A</v>
      </c>
      <c r="N676" t="str">
        <f t="shared" si="42"/>
        <v>Creación del ticket</v>
      </c>
    </row>
    <row r="677" spans="1:14" x14ac:dyDescent="0.25">
      <c r="A677" t="s">
        <v>749</v>
      </c>
      <c r="B677" s="160" t="e">
        <f>VLOOKUP(A677,RN_BN!$A$3:$D$193,2,FALSE)</f>
        <v>#N/A</v>
      </c>
      <c r="C677" s="160"/>
      <c r="D677" s="160"/>
      <c r="E677" s="160"/>
      <c r="F677" s="160"/>
      <c r="G677" s="66" t="e">
        <f>$A$682</f>
        <v>#N/A</v>
      </c>
      <c r="H677" t="s">
        <v>774</v>
      </c>
      <c r="L677" t="str">
        <f t="shared" si="40"/>
        <v>Co_02_10</v>
      </c>
      <c r="M677" t="e">
        <f t="shared" si="41"/>
        <v>#N/A</v>
      </c>
      <c r="N677" t="str">
        <f t="shared" si="42"/>
        <v>Creación del ticket</v>
      </c>
    </row>
    <row r="678" spans="1:14" x14ac:dyDescent="0.25">
      <c r="A678" t="s">
        <v>773</v>
      </c>
      <c r="B678" s="160" t="e">
        <f>VLOOKUP(A678,RN_BN!$A$3:$D$193,2,FALSE)</f>
        <v>#N/A</v>
      </c>
      <c r="C678" s="160"/>
      <c r="D678" s="160"/>
      <c r="E678" s="160"/>
      <c r="F678" s="160"/>
      <c r="G678" s="66" t="e">
        <f>$A$682</f>
        <v>#N/A</v>
      </c>
      <c r="H678" t="s">
        <v>774</v>
      </c>
      <c r="L678" t="str">
        <f t="shared" si="40"/>
        <v>Co_02_12</v>
      </c>
      <c r="M678" t="e">
        <f t="shared" si="41"/>
        <v>#N/A</v>
      </c>
      <c r="N678" t="str">
        <f t="shared" si="42"/>
        <v>Creación del ticket</v>
      </c>
    </row>
    <row r="679" spans="1:14" x14ac:dyDescent="0.25">
      <c r="L679" t="e">
        <f t="shared" si="40"/>
        <v>#N/A</v>
      </c>
      <c r="M679">
        <f t="shared" si="41"/>
        <v>0</v>
      </c>
      <c r="N679">
        <f t="shared" si="42"/>
        <v>0</v>
      </c>
    </row>
    <row r="680" spans="1:14" x14ac:dyDescent="0.25">
      <c r="A680" s="157" t="s">
        <v>143</v>
      </c>
      <c r="B680" s="157"/>
      <c r="C680" s="157" t="s">
        <v>18</v>
      </c>
      <c r="D680" s="157"/>
      <c r="E680" s="157"/>
      <c r="F680" s="157"/>
      <c r="G680" s="63"/>
      <c r="H680" s="63"/>
      <c r="L680" t="e">
        <f t="shared" si="40"/>
        <v>#N/A</v>
      </c>
      <c r="M680">
        <f t="shared" si="41"/>
        <v>0</v>
      </c>
      <c r="N680">
        <f t="shared" si="42"/>
        <v>0</v>
      </c>
    </row>
    <row r="681" spans="1:14" x14ac:dyDescent="0.25">
      <c r="A681" s="62" t="s">
        <v>15</v>
      </c>
      <c r="B681" s="62" t="s">
        <v>16</v>
      </c>
      <c r="C681" s="62" t="s">
        <v>15</v>
      </c>
      <c r="D681" s="62" t="s">
        <v>14</v>
      </c>
      <c r="E681" s="62" t="s">
        <v>8</v>
      </c>
      <c r="F681" s="62" t="s">
        <v>142</v>
      </c>
      <c r="G681" s="62"/>
      <c r="H681" s="62"/>
      <c r="L681" t="e">
        <f t="shared" si="40"/>
        <v>#N/A</v>
      </c>
      <c r="M681">
        <f t="shared" si="41"/>
        <v>0</v>
      </c>
      <c r="N681">
        <f t="shared" si="42"/>
        <v>0</v>
      </c>
    </row>
    <row r="682" spans="1:14" x14ac:dyDescent="0.25">
      <c r="A682" t="e">
        <f>CONCATENATE("UI","_",F682,"_",C682)</f>
        <v>#N/A</v>
      </c>
      <c r="B682" t="s">
        <v>774</v>
      </c>
      <c r="C682" t="e">
        <f>VLOOKUP(A676,RN_BN!$A$3:$D$193,3,FALSE)</f>
        <v>#N/A</v>
      </c>
      <c r="D682" t="e">
        <f>VLOOKUP(A676,RN_BN!$A$3:$D$193,4,FALSE)</f>
        <v>#N/A</v>
      </c>
      <c r="E682" t="e">
        <f>VLOOKUP(C682,RN_BN!$C$3:$F$193,4,FALSE)</f>
        <v>#N/A</v>
      </c>
      <c r="F682" s="22" t="s">
        <v>51</v>
      </c>
      <c r="G682" s="22"/>
      <c r="H682" s="22"/>
      <c r="L682" t="e">
        <f t="shared" si="40"/>
        <v>#N/A</v>
      </c>
      <c r="M682">
        <f t="shared" si="41"/>
        <v>0</v>
      </c>
      <c r="N682">
        <f t="shared" si="42"/>
        <v>0</v>
      </c>
    </row>
    <row r="683" spans="1:14" x14ac:dyDescent="0.25">
      <c r="L683" t="e">
        <f t="shared" ref="L683:L688" si="43">IF(VLOOKUP(A683,$K$3:$K$82,1,FALSE)=A683,A683)</f>
        <v>#N/A</v>
      </c>
      <c r="M683">
        <f t="shared" si="41"/>
        <v>0</v>
      </c>
      <c r="N683">
        <f t="shared" ref="N683:N688" si="44">IF(ISNA(L683),,H683)</f>
        <v>0</v>
      </c>
    </row>
    <row r="684" spans="1:14" x14ac:dyDescent="0.25">
      <c r="A684" s="62" t="s">
        <v>162</v>
      </c>
      <c r="B684" s="158" t="s">
        <v>16</v>
      </c>
      <c r="C684" s="158"/>
      <c r="D684" s="158"/>
      <c r="E684" s="158"/>
      <c r="F684" s="158"/>
      <c r="G684" s="68"/>
      <c r="H684" s="68"/>
      <c r="L684" t="e">
        <f t="shared" si="43"/>
        <v>#N/A</v>
      </c>
      <c r="M684">
        <f t="shared" si="41"/>
        <v>0</v>
      </c>
      <c r="N684">
        <f t="shared" si="44"/>
        <v>0</v>
      </c>
    </row>
    <row r="685" spans="1:14" x14ac:dyDescent="0.25">
      <c r="A685" s="24" t="s">
        <v>775</v>
      </c>
      <c r="B685" s="156" t="s">
        <v>262</v>
      </c>
      <c r="C685" s="156"/>
      <c r="D685" s="156"/>
      <c r="E685" s="156"/>
      <c r="F685" s="156"/>
      <c r="G685" s="67"/>
      <c r="H685" s="67"/>
      <c r="L685" t="e">
        <f t="shared" si="43"/>
        <v>#N/A</v>
      </c>
      <c r="M685">
        <f t="shared" si="41"/>
        <v>0</v>
      </c>
      <c r="N685">
        <f t="shared" si="44"/>
        <v>0</v>
      </c>
    </row>
    <row r="686" spans="1:14" x14ac:dyDescent="0.25">
      <c r="A686" s="24" t="s">
        <v>95</v>
      </c>
      <c r="B686" s="156" t="s">
        <v>263</v>
      </c>
      <c r="C686" s="156"/>
      <c r="D686" s="156"/>
      <c r="E686" s="156"/>
      <c r="F686" s="156"/>
      <c r="G686" s="67"/>
      <c r="H686" s="67"/>
      <c r="L686" t="e">
        <f t="shared" si="43"/>
        <v>#N/A</v>
      </c>
      <c r="M686">
        <f t="shared" si="41"/>
        <v>0</v>
      </c>
      <c r="N686">
        <f t="shared" si="44"/>
        <v>0</v>
      </c>
    </row>
    <row r="687" spans="1:14" x14ac:dyDescent="0.25">
      <c r="A687" s="24" t="s">
        <v>96</v>
      </c>
      <c r="B687" s="156" t="s">
        <v>264</v>
      </c>
      <c r="C687" s="156"/>
      <c r="D687" s="156"/>
      <c r="E687" s="156"/>
      <c r="F687" s="156"/>
      <c r="G687" s="67"/>
      <c r="H687" s="67"/>
      <c r="L687" t="e">
        <f t="shared" si="43"/>
        <v>#N/A</v>
      </c>
      <c r="M687">
        <f t="shared" si="41"/>
        <v>0</v>
      </c>
      <c r="N687">
        <f t="shared" si="44"/>
        <v>0</v>
      </c>
    </row>
    <row r="688" spans="1:14" x14ac:dyDescent="0.25">
      <c r="A688" s="24" t="s">
        <v>148</v>
      </c>
      <c r="B688" s="156" t="s">
        <v>265</v>
      </c>
      <c r="C688" s="156"/>
      <c r="D688" s="156"/>
      <c r="E688" s="156"/>
      <c r="F688" s="156"/>
      <c r="G688" s="67"/>
      <c r="H688" s="67"/>
      <c r="L688" t="e">
        <f t="shared" si="43"/>
        <v>#N/A</v>
      </c>
      <c r="M688">
        <f t="shared" si="41"/>
        <v>0</v>
      </c>
      <c r="N688">
        <f t="shared" si="44"/>
        <v>0</v>
      </c>
    </row>
    <row r="689" spans="1:14" x14ac:dyDescent="0.25">
      <c r="A689" s="24" t="s">
        <v>198</v>
      </c>
      <c r="B689" s="156" t="s">
        <v>266</v>
      </c>
      <c r="C689" s="156"/>
      <c r="D689" s="156"/>
      <c r="E689" s="156"/>
      <c r="F689" s="156"/>
      <c r="G689" s="67"/>
      <c r="H689" s="67"/>
      <c r="L689" t="e">
        <f t="shared" ref="L689:L704" si="45">IF(VLOOKUP(A689,$K$3:$K$82,1,FALSE)=A689,A689)</f>
        <v>#N/A</v>
      </c>
      <c r="M689">
        <f t="shared" ref="M689:M704" si="46">IF(ISNA(L689),,G689)</f>
        <v>0</v>
      </c>
      <c r="N689">
        <f t="shared" ref="N689:N704" si="47">IF(ISNA(L689),,H689)</f>
        <v>0</v>
      </c>
    </row>
    <row r="690" spans="1:14" x14ac:dyDescent="0.25">
      <c r="A690" s="24" t="s">
        <v>267</v>
      </c>
      <c r="B690" s="156" t="s">
        <v>268</v>
      </c>
      <c r="C690" s="156"/>
      <c r="D690" s="156"/>
      <c r="E690" s="156"/>
      <c r="F690" s="156"/>
      <c r="G690" s="67"/>
      <c r="H690" s="67"/>
      <c r="L690" t="e">
        <f t="shared" si="45"/>
        <v>#N/A</v>
      </c>
      <c r="M690">
        <f t="shared" si="46"/>
        <v>0</v>
      </c>
      <c r="N690">
        <f t="shared" si="47"/>
        <v>0</v>
      </c>
    </row>
    <row r="691" spans="1:14" x14ac:dyDescent="0.25">
      <c r="A691" s="24" t="s">
        <v>269</v>
      </c>
      <c r="B691" s="156" t="s">
        <v>270</v>
      </c>
      <c r="C691" s="156"/>
      <c r="D691" s="156"/>
      <c r="E691" s="156"/>
      <c r="F691" s="156"/>
      <c r="G691" s="67"/>
      <c r="H691" s="67"/>
      <c r="L691" t="e">
        <f t="shared" si="45"/>
        <v>#N/A</v>
      </c>
      <c r="M691">
        <f t="shared" si="46"/>
        <v>0</v>
      </c>
      <c r="N691">
        <f t="shared" si="47"/>
        <v>0</v>
      </c>
    </row>
    <row r="692" spans="1:14" x14ac:dyDescent="0.25">
      <c r="A692" s="24" t="s">
        <v>271</v>
      </c>
      <c r="B692" s="162" t="s">
        <v>272</v>
      </c>
      <c r="C692" s="156"/>
      <c r="D692" s="156"/>
      <c r="E692" s="156"/>
      <c r="F692" s="156"/>
      <c r="G692" s="67"/>
      <c r="H692" s="67"/>
      <c r="L692" t="e">
        <f t="shared" si="45"/>
        <v>#N/A</v>
      </c>
      <c r="M692">
        <f t="shared" si="46"/>
        <v>0</v>
      </c>
      <c r="N692">
        <f t="shared" si="47"/>
        <v>0</v>
      </c>
    </row>
    <row r="693" spans="1:14" x14ac:dyDescent="0.25">
      <c r="A693" s="24" t="s">
        <v>273</v>
      </c>
      <c r="B693" s="156" t="s">
        <v>274</v>
      </c>
      <c r="C693" s="156"/>
      <c r="D693" s="156"/>
      <c r="E693" s="156"/>
      <c r="F693" s="156"/>
      <c r="G693" s="67"/>
      <c r="H693" s="67"/>
      <c r="L693" t="e">
        <f t="shared" si="45"/>
        <v>#N/A</v>
      </c>
      <c r="M693">
        <f t="shared" si="46"/>
        <v>0</v>
      </c>
      <c r="N693">
        <f t="shared" si="47"/>
        <v>0</v>
      </c>
    </row>
    <row r="694" spans="1:14" x14ac:dyDescent="0.25">
      <c r="A694" s="24" t="s">
        <v>275</v>
      </c>
      <c r="B694" s="156" t="s">
        <v>276</v>
      </c>
      <c r="C694" s="156"/>
      <c r="D694" s="156"/>
      <c r="E694" s="156"/>
      <c r="F694" s="156"/>
      <c r="G694" s="67"/>
      <c r="H694" s="67"/>
      <c r="L694" t="e">
        <f t="shared" si="45"/>
        <v>#N/A</v>
      </c>
      <c r="M694">
        <f t="shared" si="46"/>
        <v>0</v>
      </c>
      <c r="N694">
        <f t="shared" si="47"/>
        <v>0</v>
      </c>
    </row>
    <row r="695" spans="1:14" x14ac:dyDescent="0.25">
      <c r="A695" s="24" t="s">
        <v>728</v>
      </c>
      <c r="B695" s="156" t="s">
        <v>729</v>
      </c>
      <c r="C695" s="156"/>
      <c r="D695" s="156"/>
      <c r="E695" s="156"/>
      <c r="F695" s="156"/>
      <c r="G695" s="67"/>
      <c r="H695" s="67"/>
      <c r="L695" t="e">
        <f t="shared" si="45"/>
        <v>#N/A</v>
      </c>
      <c r="M695">
        <f t="shared" si="46"/>
        <v>0</v>
      </c>
      <c r="N695">
        <f t="shared" si="47"/>
        <v>0</v>
      </c>
    </row>
    <row r="696" spans="1:14" x14ac:dyDescent="0.25">
      <c r="A696" s="24" t="s">
        <v>732</v>
      </c>
      <c r="B696" s="156" t="s">
        <v>735</v>
      </c>
      <c r="C696" s="156"/>
      <c r="D696" s="156"/>
      <c r="E696" s="156"/>
      <c r="F696" s="156"/>
      <c r="G696" s="67"/>
      <c r="H696" s="67"/>
      <c r="L696" t="e">
        <f t="shared" si="45"/>
        <v>#N/A</v>
      </c>
      <c r="M696">
        <f t="shared" si="46"/>
        <v>0</v>
      </c>
      <c r="N696">
        <f t="shared" si="47"/>
        <v>0</v>
      </c>
    </row>
    <row r="697" spans="1:14" x14ac:dyDescent="0.25">
      <c r="A697" s="24" t="s">
        <v>733</v>
      </c>
      <c r="B697" s="156" t="s">
        <v>736</v>
      </c>
      <c r="C697" s="156"/>
      <c r="D697" s="156"/>
      <c r="E697" s="156"/>
      <c r="F697" s="156"/>
      <c r="G697" s="67"/>
      <c r="H697" s="67"/>
      <c r="L697" t="e">
        <f t="shared" si="45"/>
        <v>#N/A</v>
      </c>
      <c r="M697">
        <f t="shared" si="46"/>
        <v>0</v>
      </c>
      <c r="N697">
        <f t="shared" si="47"/>
        <v>0</v>
      </c>
    </row>
    <row r="698" spans="1:14" x14ac:dyDescent="0.25">
      <c r="A698" s="24" t="s">
        <v>734</v>
      </c>
      <c r="B698" s="156" t="s">
        <v>737</v>
      </c>
      <c r="C698" s="156"/>
      <c r="D698" s="156"/>
      <c r="E698" s="156"/>
      <c r="F698" s="156"/>
      <c r="G698" s="67"/>
      <c r="H698" s="67"/>
      <c r="L698" t="e">
        <f t="shared" si="45"/>
        <v>#N/A</v>
      </c>
      <c r="M698">
        <f t="shared" si="46"/>
        <v>0</v>
      </c>
      <c r="N698">
        <f t="shared" si="47"/>
        <v>0</v>
      </c>
    </row>
    <row r="699" spans="1:14" x14ac:dyDescent="0.25">
      <c r="A699" s="24" t="s">
        <v>778</v>
      </c>
      <c r="B699" s="156" t="s">
        <v>780</v>
      </c>
      <c r="C699" s="156"/>
      <c r="D699" s="156"/>
      <c r="E699" s="156"/>
      <c r="F699" s="156"/>
      <c r="G699" s="67"/>
      <c r="H699" s="67"/>
      <c r="L699" t="e">
        <f t="shared" si="45"/>
        <v>#N/A</v>
      </c>
      <c r="M699">
        <f t="shared" si="46"/>
        <v>0</v>
      </c>
      <c r="N699">
        <f t="shared" si="47"/>
        <v>0</v>
      </c>
    </row>
    <row r="700" spans="1:14" x14ac:dyDescent="0.25">
      <c r="A700" s="24" t="s">
        <v>779</v>
      </c>
      <c r="B700" s="156" t="s">
        <v>781</v>
      </c>
      <c r="C700" s="156"/>
      <c r="D700" s="156"/>
      <c r="E700" s="156"/>
      <c r="F700" s="156"/>
      <c r="G700" s="67"/>
      <c r="H700" s="67"/>
      <c r="L700" t="e">
        <f t="shared" si="45"/>
        <v>#N/A</v>
      </c>
      <c r="M700">
        <f t="shared" si="46"/>
        <v>0</v>
      </c>
      <c r="N700">
        <f t="shared" si="47"/>
        <v>0</v>
      </c>
    </row>
    <row r="701" spans="1:14" x14ac:dyDescent="0.25">
      <c r="L701" t="e">
        <f t="shared" si="45"/>
        <v>#N/A</v>
      </c>
      <c r="M701">
        <f t="shared" si="46"/>
        <v>0</v>
      </c>
      <c r="N701">
        <f t="shared" si="47"/>
        <v>0</v>
      </c>
    </row>
    <row r="702" spans="1:14" x14ac:dyDescent="0.25">
      <c r="A702" s="62" t="s">
        <v>163</v>
      </c>
      <c r="B702" s="158" t="s">
        <v>16</v>
      </c>
      <c r="C702" s="158"/>
      <c r="D702" s="158"/>
      <c r="E702" s="158"/>
      <c r="F702" s="158"/>
      <c r="G702" s="68"/>
      <c r="H702" s="68"/>
      <c r="L702" t="e">
        <f t="shared" si="45"/>
        <v>#N/A</v>
      </c>
      <c r="M702">
        <f t="shared" si="46"/>
        <v>0</v>
      </c>
      <c r="N702">
        <f t="shared" si="47"/>
        <v>0</v>
      </c>
    </row>
    <row r="703" spans="1:14" x14ac:dyDescent="0.25">
      <c r="A703" s="24" t="s">
        <v>776</v>
      </c>
      <c r="B703" s="161" t="s">
        <v>777</v>
      </c>
      <c r="C703" s="161"/>
      <c r="D703" s="161"/>
      <c r="E703" s="161"/>
      <c r="F703" s="161"/>
      <c r="G703" s="69"/>
      <c r="H703" s="69"/>
      <c r="L703" t="e">
        <f t="shared" si="45"/>
        <v>#N/A</v>
      </c>
      <c r="M703">
        <f t="shared" si="46"/>
        <v>0</v>
      </c>
      <c r="N703">
        <f t="shared" si="47"/>
        <v>0</v>
      </c>
    </row>
    <row r="704" spans="1:14" x14ac:dyDescent="0.25">
      <c r="L704" t="e">
        <f t="shared" si="45"/>
        <v>#N/A</v>
      </c>
      <c r="M704">
        <f t="shared" si="46"/>
        <v>0</v>
      </c>
      <c r="N704">
        <f t="shared" si="47"/>
        <v>0</v>
      </c>
    </row>
    <row r="705" spans="1:14" x14ac:dyDescent="0.25">
      <c r="L705" t="e">
        <f t="shared" ref="L705:L743" si="48">IF(VLOOKUP(A705,$K$3:$K$82,1,FALSE)=A705,A705)</f>
        <v>#N/A</v>
      </c>
      <c r="M705">
        <f t="shared" ref="M705:M743" si="49">IF(ISNA(L705),,G705)</f>
        <v>0</v>
      </c>
      <c r="N705">
        <f t="shared" ref="N705:N743" si="50">IF(ISNA(L705),,H705)</f>
        <v>0</v>
      </c>
    </row>
    <row r="706" spans="1:14" x14ac:dyDescent="0.25">
      <c r="L706" t="e">
        <f t="shared" si="48"/>
        <v>#N/A</v>
      </c>
      <c r="M706">
        <f t="shared" si="49"/>
        <v>0</v>
      </c>
      <c r="N706">
        <f t="shared" si="50"/>
        <v>0</v>
      </c>
    </row>
    <row r="707" spans="1:14" x14ac:dyDescent="0.25">
      <c r="A707" s="159" t="s">
        <v>19</v>
      </c>
      <c r="B707" s="159"/>
      <c r="C707" s="159"/>
      <c r="D707" s="159"/>
      <c r="E707" s="159"/>
      <c r="F707" s="159"/>
      <c r="G707" s="65"/>
      <c r="H707" s="65"/>
      <c r="L707" t="e">
        <f t="shared" si="48"/>
        <v>#N/A</v>
      </c>
      <c r="M707">
        <f t="shared" si="49"/>
        <v>0</v>
      </c>
      <c r="N707">
        <f t="shared" si="50"/>
        <v>0</v>
      </c>
    </row>
    <row r="708" spans="1:14" x14ac:dyDescent="0.25">
      <c r="A708" s="62" t="s">
        <v>15</v>
      </c>
      <c r="B708" s="157" t="s">
        <v>14</v>
      </c>
      <c r="C708" s="157"/>
      <c r="D708" s="157"/>
      <c r="E708" s="157"/>
      <c r="F708" s="157"/>
      <c r="G708" s="62" t="s">
        <v>15</v>
      </c>
      <c r="H708" s="62" t="s">
        <v>16</v>
      </c>
      <c r="L708" t="e">
        <f t="shared" si="48"/>
        <v>#N/A</v>
      </c>
      <c r="M708">
        <f t="shared" si="49"/>
        <v>0</v>
      </c>
      <c r="N708">
        <f t="shared" si="50"/>
        <v>0</v>
      </c>
    </row>
    <row r="709" spans="1:14" x14ac:dyDescent="0.25">
      <c r="A709" t="s">
        <v>730</v>
      </c>
      <c r="B709" s="160" t="e">
        <f>VLOOKUP(A709,RN_BN!$A$3:$D$193,2,FALSE)</f>
        <v>#N/A</v>
      </c>
      <c r="C709" s="160"/>
      <c r="D709" s="160"/>
      <c r="E709" s="160"/>
      <c r="F709" s="160"/>
      <c r="G709" s="66" t="e">
        <f>$A$187</f>
        <v>#N/A</v>
      </c>
      <c r="H709" s="66" t="str">
        <f>$B$187</f>
        <v>Catálogo de Categorías de Mercancías</v>
      </c>
      <c r="L709" t="str">
        <f t="shared" si="48"/>
        <v>Co_01_12</v>
      </c>
      <c r="M709" t="e">
        <f t="shared" si="49"/>
        <v>#N/A</v>
      </c>
      <c r="N709" t="str">
        <f t="shared" si="50"/>
        <v>Catálogo de Categorías de Mercancías</v>
      </c>
    </row>
    <row r="710" spans="1:14" x14ac:dyDescent="0.25">
      <c r="L710" t="e">
        <f t="shared" si="48"/>
        <v>#N/A</v>
      </c>
      <c r="M710">
        <f t="shared" si="49"/>
        <v>0</v>
      </c>
      <c r="N710">
        <f t="shared" si="50"/>
        <v>0</v>
      </c>
    </row>
    <row r="711" spans="1:14" x14ac:dyDescent="0.25">
      <c r="A711" s="157" t="s">
        <v>143</v>
      </c>
      <c r="B711" s="157"/>
      <c r="C711" s="157" t="s">
        <v>18</v>
      </c>
      <c r="D711" s="157"/>
      <c r="E711" s="157"/>
      <c r="F711" s="157"/>
      <c r="G711" s="63"/>
      <c r="H711" s="63"/>
      <c r="L711" t="e">
        <f t="shared" si="48"/>
        <v>#N/A</v>
      </c>
      <c r="M711">
        <f t="shared" si="49"/>
        <v>0</v>
      </c>
      <c r="N711">
        <f t="shared" si="50"/>
        <v>0</v>
      </c>
    </row>
    <row r="712" spans="1:14" x14ac:dyDescent="0.25">
      <c r="A712" s="62" t="s">
        <v>15</v>
      </c>
      <c r="B712" s="62" t="s">
        <v>16</v>
      </c>
      <c r="C712" s="62" t="s">
        <v>15</v>
      </c>
      <c r="D712" s="62" t="s">
        <v>14</v>
      </c>
      <c r="E712" s="62" t="s">
        <v>8</v>
      </c>
      <c r="F712" s="62" t="s">
        <v>142</v>
      </c>
      <c r="G712" s="62"/>
      <c r="H712" s="62"/>
      <c r="L712" t="e">
        <f t="shared" si="48"/>
        <v>#N/A</v>
      </c>
      <c r="M712">
        <f t="shared" si="49"/>
        <v>0</v>
      </c>
      <c r="N712">
        <f t="shared" si="50"/>
        <v>0</v>
      </c>
    </row>
    <row r="713" spans="1:14" x14ac:dyDescent="0.25">
      <c r="A713" t="e">
        <f>CONCATENATE("UI","_",F713,"_",C713)</f>
        <v>#N/A</v>
      </c>
      <c r="B713" t="s">
        <v>787</v>
      </c>
      <c r="C713" t="e">
        <f>VLOOKUP(A709,RN_BN!$A$3:$D$193,3,FALSE)</f>
        <v>#N/A</v>
      </c>
      <c r="D713" t="e">
        <f>VLOOKUP(A709,RN_BN!$A$3:$D$193,4,FALSE)</f>
        <v>#N/A</v>
      </c>
      <c r="E713" t="e">
        <f>VLOOKUP(C713,RN_BN!$C$3:$F$193,4,FALSE)</f>
        <v>#N/A</v>
      </c>
      <c r="F713" s="22" t="s">
        <v>50</v>
      </c>
      <c r="G713" s="22"/>
      <c r="H713" s="22"/>
      <c r="L713" t="e">
        <f t="shared" si="48"/>
        <v>#N/A</v>
      </c>
      <c r="M713">
        <f t="shared" si="49"/>
        <v>0</v>
      </c>
      <c r="N713">
        <f t="shared" si="50"/>
        <v>0</v>
      </c>
    </row>
    <row r="714" spans="1:14" x14ac:dyDescent="0.25">
      <c r="L714" t="e">
        <f t="shared" si="48"/>
        <v>#N/A</v>
      </c>
      <c r="M714">
        <f t="shared" si="49"/>
        <v>0</v>
      </c>
      <c r="N714">
        <f t="shared" si="50"/>
        <v>0</v>
      </c>
    </row>
    <row r="715" spans="1:14" x14ac:dyDescent="0.25">
      <c r="A715" s="62" t="s">
        <v>162</v>
      </c>
      <c r="B715" s="158" t="s">
        <v>16</v>
      </c>
      <c r="C715" s="158"/>
      <c r="D715" s="158"/>
      <c r="E715" s="158"/>
      <c r="F715" s="158"/>
      <c r="G715" s="68"/>
      <c r="H715" s="68"/>
      <c r="L715" t="e">
        <f t="shared" si="48"/>
        <v>#N/A</v>
      </c>
      <c r="M715">
        <f t="shared" si="49"/>
        <v>0</v>
      </c>
      <c r="N715">
        <f t="shared" si="50"/>
        <v>0</v>
      </c>
    </row>
    <row r="716" spans="1:14" x14ac:dyDescent="0.25">
      <c r="A716" s="24" t="s">
        <v>789</v>
      </c>
      <c r="B716" s="156" t="s">
        <v>14</v>
      </c>
      <c r="C716" s="156"/>
      <c r="D716" s="156"/>
      <c r="E716" s="156"/>
      <c r="F716" s="156"/>
      <c r="G716" s="67"/>
      <c r="H716" s="67"/>
      <c r="L716" t="e">
        <f t="shared" si="48"/>
        <v>#N/A</v>
      </c>
      <c r="M716">
        <f t="shared" si="49"/>
        <v>0</v>
      </c>
      <c r="N716">
        <f t="shared" si="50"/>
        <v>0</v>
      </c>
    </row>
    <row r="717" spans="1:14" x14ac:dyDescent="0.25">
      <c r="A717" s="24" t="s">
        <v>318</v>
      </c>
      <c r="B717" s="156" t="s">
        <v>318</v>
      </c>
      <c r="C717" s="156"/>
      <c r="D717" s="156"/>
      <c r="E717" s="156"/>
      <c r="F717" s="156"/>
      <c r="G717" s="67"/>
      <c r="H717" s="67"/>
      <c r="L717" t="e">
        <f t="shared" si="48"/>
        <v>#N/A</v>
      </c>
      <c r="M717">
        <f t="shared" si="49"/>
        <v>0</v>
      </c>
      <c r="N717">
        <f t="shared" si="50"/>
        <v>0</v>
      </c>
    </row>
    <row r="718" spans="1:14" x14ac:dyDescent="0.25">
      <c r="L718" t="e">
        <f t="shared" si="48"/>
        <v>#N/A</v>
      </c>
      <c r="M718">
        <f t="shared" si="49"/>
        <v>0</v>
      </c>
      <c r="N718">
        <f t="shared" si="50"/>
        <v>0</v>
      </c>
    </row>
    <row r="719" spans="1:14" x14ac:dyDescent="0.25">
      <c r="A719" s="62" t="s">
        <v>163</v>
      </c>
      <c r="B719" s="158" t="s">
        <v>16</v>
      </c>
      <c r="C719" s="158"/>
      <c r="D719" s="158"/>
      <c r="E719" s="158"/>
      <c r="F719" s="158"/>
      <c r="G719" s="68"/>
      <c r="H719" s="68"/>
      <c r="L719" t="e">
        <f t="shared" si="48"/>
        <v>#N/A</v>
      </c>
      <c r="M719">
        <f t="shared" si="49"/>
        <v>0</v>
      </c>
      <c r="N719">
        <f t="shared" si="50"/>
        <v>0</v>
      </c>
    </row>
    <row r="720" spans="1:14" x14ac:dyDescent="0.25">
      <c r="A720" s="24" t="s">
        <v>790</v>
      </c>
      <c r="B720" s="161" t="s">
        <v>795</v>
      </c>
      <c r="C720" s="161"/>
      <c r="D720" s="161"/>
      <c r="E720" s="161"/>
      <c r="F720" s="161"/>
      <c r="G720" s="69"/>
      <c r="H720" s="69"/>
      <c r="L720" t="e">
        <f t="shared" si="48"/>
        <v>#N/A</v>
      </c>
      <c r="M720">
        <f t="shared" si="49"/>
        <v>0</v>
      </c>
      <c r="N720">
        <f t="shared" si="50"/>
        <v>0</v>
      </c>
    </row>
    <row r="721" spans="1:14" x14ac:dyDescent="0.25">
      <c r="A721" s="24" t="s">
        <v>791</v>
      </c>
      <c r="B721" s="161" t="s">
        <v>310</v>
      </c>
      <c r="C721" s="161"/>
      <c r="D721" s="161"/>
      <c r="E721" s="161"/>
      <c r="F721" s="161"/>
      <c r="G721" s="69"/>
      <c r="H721" s="69"/>
      <c r="L721" t="e">
        <f t="shared" si="48"/>
        <v>#N/A</v>
      </c>
      <c r="M721">
        <f t="shared" si="49"/>
        <v>0</v>
      </c>
      <c r="N721">
        <f t="shared" si="50"/>
        <v>0</v>
      </c>
    </row>
    <row r="722" spans="1:14" x14ac:dyDescent="0.25">
      <c r="A722" s="24" t="s">
        <v>792</v>
      </c>
      <c r="B722" s="161" t="s">
        <v>802</v>
      </c>
      <c r="C722" s="161"/>
      <c r="D722" s="161"/>
      <c r="E722" s="161"/>
      <c r="F722" s="161"/>
      <c r="G722" s="69"/>
      <c r="H722" s="69"/>
      <c r="L722" t="e">
        <f t="shared" si="48"/>
        <v>#N/A</v>
      </c>
      <c r="M722">
        <f t="shared" si="49"/>
        <v>0</v>
      </c>
      <c r="N722">
        <f t="shared" si="50"/>
        <v>0</v>
      </c>
    </row>
    <row r="723" spans="1:14" x14ac:dyDescent="0.25">
      <c r="A723" s="24" t="s">
        <v>793</v>
      </c>
      <c r="B723" s="161" t="s">
        <v>794</v>
      </c>
      <c r="C723" s="161"/>
      <c r="D723" s="161"/>
      <c r="E723" s="161"/>
      <c r="F723" s="161"/>
      <c r="G723" s="69"/>
      <c r="H723" s="69"/>
      <c r="L723" t="e">
        <f t="shared" si="48"/>
        <v>#N/A</v>
      </c>
      <c r="M723">
        <f t="shared" si="49"/>
        <v>0</v>
      </c>
      <c r="N723">
        <f t="shared" si="50"/>
        <v>0</v>
      </c>
    </row>
    <row r="724" spans="1:14" x14ac:dyDescent="0.25">
      <c r="L724" t="e">
        <f t="shared" si="48"/>
        <v>#N/A</v>
      </c>
      <c r="M724">
        <f t="shared" si="49"/>
        <v>0</v>
      </c>
      <c r="N724">
        <f t="shared" si="50"/>
        <v>0</v>
      </c>
    </row>
    <row r="725" spans="1:14" x14ac:dyDescent="0.25">
      <c r="L725" t="e">
        <f t="shared" si="48"/>
        <v>#N/A</v>
      </c>
      <c r="M725">
        <f t="shared" si="49"/>
        <v>0</v>
      </c>
      <c r="N725">
        <f t="shared" si="50"/>
        <v>0</v>
      </c>
    </row>
    <row r="726" spans="1:14" x14ac:dyDescent="0.25">
      <c r="L726" t="e">
        <f t="shared" si="48"/>
        <v>#N/A</v>
      </c>
      <c r="M726">
        <f t="shared" si="49"/>
        <v>0</v>
      </c>
      <c r="N726">
        <f t="shared" si="50"/>
        <v>0</v>
      </c>
    </row>
    <row r="727" spans="1:14" x14ac:dyDescent="0.25">
      <c r="A727" s="159" t="s">
        <v>19</v>
      </c>
      <c r="B727" s="159"/>
      <c r="C727" s="159"/>
      <c r="D727" s="159"/>
      <c r="E727" s="159"/>
      <c r="F727" s="159"/>
      <c r="G727" s="65"/>
      <c r="H727" s="65"/>
      <c r="L727" t="e">
        <f t="shared" si="48"/>
        <v>#N/A</v>
      </c>
      <c r="M727">
        <f t="shared" si="49"/>
        <v>0</v>
      </c>
      <c r="N727">
        <f t="shared" si="50"/>
        <v>0</v>
      </c>
    </row>
    <row r="728" spans="1:14" x14ac:dyDescent="0.25">
      <c r="A728" s="62" t="s">
        <v>15</v>
      </c>
      <c r="B728" s="157" t="s">
        <v>14</v>
      </c>
      <c r="C728" s="157"/>
      <c r="D728" s="157"/>
      <c r="E728" s="157"/>
      <c r="F728" s="157"/>
      <c r="G728" s="62" t="s">
        <v>15</v>
      </c>
      <c r="H728" s="62" t="s">
        <v>16</v>
      </c>
      <c r="L728" t="e">
        <f t="shared" si="48"/>
        <v>#N/A</v>
      </c>
      <c r="M728">
        <f t="shared" si="49"/>
        <v>0</v>
      </c>
      <c r="N728">
        <f t="shared" si="50"/>
        <v>0</v>
      </c>
    </row>
    <row r="729" spans="1:14" x14ac:dyDescent="0.25">
      <c r="A729" t="s">
        <v>751</v>
      </c>
      <c r="B729" s="160" t="e">
        <f>VLOOKUP(A729,RN_BN!$A$3:$D$193,2,FALSE)</f>
        <v>#N/A</v>
      </c>
      <c r="C729" s="160"/>
      <c r="D729" s="160"/>
      <c r="E729" s="160"/>
      <c r="F729" s="160"/>
      <c r="G729" s="66" t="e">
        <f>$A$187</f>
        <v>#N/A</v>
      </c>
      <c r="H729" s="66" t="str">
        <f>$B$187</f>
        <v>Catálogo de Categorías de Mercancías</v>
      </c>
      <c r="L729" t="str">
        <f t="shared" si="48"/>
        <v>Co_02_13</v>
      </c>
      <c r="M729" t="e">
        <f t="shared" si="49"/>
        <v>#N/A</v>
      </c>
      <c r="N729" t="str">
        <f t="shared" si="50"/>
        <v>Catálogo de Categorías de Mercancías</v>
      </c>
    </row>
    <row r="730" spans="1:14" x14ac:dyDescent="0.25">
      <c r="L730" t="e">
        <f t="shared" si="48"/>
        <v>#N/A</v>
      </c>
      <c r="M730">
        <f t="shared" si="49"/>
        <v>0</v>
      </c>
      <c r="N730">
        <f t="shared" si="50"/>
        <v>0</v>
      </c>
    </row>
    <row r="731" spans="1:14" x14ac:dyDescent="0.25">
      <c r="A731" s="157" t="s">
        <v>143</v>
      </c>
      <c r="B731" s="157"/>
      <c r="C731" s="157" t="s">
        <v>18</v>
      </c>
      <c r="D731" s="157"/>
      <c r="E731" s="157"/>
      <c r="F731" s="157"/>
      <c r="G731" s="63"/>
      <c r="H731" s="63"/>
      <c r="L731" t="e">
        <f t="shared" si="48"/>
        <v>#N/A</v>
      </c>
      <c r="M731">
        <f t="shared" si="49"/>
        <v>0</v>
      </c>
      <c r="N731">
        <f t="shared" si="50"/>
        <v>0</v>
      </c>
    </row>
    <row r="732" spans="1:14" x14ac:dyDescent="0.25">
      <c r="A732" s="62" t="s">
        <v>15</v>
      </c>
      <c r="B732" s="62" t="s">
        <v>16</v>
      </c>
      <c r="C732" s="62" t="s">
        <v>15</v>
      </c>
      <c r="D732" s="62" t="s">
        <v>14</v>
      </c>
      <c r="E732" s="62" t="s">
        <v>8</v>
      </c>
      <c r="F732" s="62" t="s">
        <v>142</v>
      </c>
      <c r="G732" s="62"/>
      <c r="H732" s="62"/>
      <c r="L732" t="e">
        <f t="shared" si="48"/>
        <v>#N/A</v>
      </c>
      <c r="M732">
        <f t="shared" si="49"/>
        <v>0</v>
      </c>
      <c r="N732">
        <f t="shared" si="50"/>
        <v>0</v>
      </c>
    </row>
    <row r="733" spans="1:14" x14ac:dyDescent="0.25">
      <c r="A733" t="e">
        <f>CONCATENATE("UI","_",F733,"_",C733)</f>
        <v>#N/A</v>
      </c>
      <c r="B733" t="s">
        <v>788</v>
      </c>
      <c r="C733" t="e">
        <f>VLOOKUP(A729,RN_BN!$A$3:$D$193,3,FALSE)</f>
        <v>#N/A</v>
      </c>
      <c r="D733" t="e">
        <f>VLOOKUP(A729,RN_BN!$A$3:$D$193,4,FALSE)</f>
        <v>#N/A</v>
      </c>
      <c r="E733" t="e">
        <f>VLOOKUP(C733,RN_BN!$C$3:$F$193,4,FALSE)</f>
        <v>#N/A</v>
      </c>
      <c r="F733" s="22" t="s">
        <v>52</v>
      </c>
      <c r="G733" s="22"/>
      <c r="H733" s="22"/>
      <c r="L733" t="e">
        <f t="shared" si="48"/>
        <v>#N/A</v>
      </c>
      <c r="M733">
        <f t="shared" si="49"/>
        <v>0</v>
      </c>
      <c r="N733">
        <f t="shared" si="50"/>
        <v>0</v>
      </c>
    </row>
    <row r="734" spans="1:14" x14ac:dyDescent="0.25">
      <c r="L734" t="e">
        <f t="shared" si="48"/>
        <v>#N/A</v>
      </c>
      <c r="M734">
        <f t="shared" si="49"/>
        <v>0</v>
      </c>
      <c r="N734">
        <f t="shared" si="50"/>
        <v>0</v>
      </c>
    </row>
    <row r="735" spans="1:14" x14ac:dyDescent="0.25">
      <c r="A735" s="62" t="s">
        <v>162</v>
      </c>
      <c r="B735" s="158" t="s">
        <v>16</v>
      </c>
      <c r="C735" s="158"/>
      <c r="D735" s="158"/>
      <c r="E735" s="158"/>
      <c r="F735" s="158"/>
      <c r="G735" s="68"/>
      <c r="H735" s="68"/>
      <c r="L735" t="e">
        <f t="shared" si="48"/>
        <v>#N/A</v>
      </c>
      <c r="M735">
        <f t="shared" si="49"/>
        <v>0</v>
      </c>
      <c r="N735">
        <f t="shared" si="50"/>
        <v>0</v>
      </c>
    </row>
    <row r="736" spans="1:14" x14ac:dyDescent="0.25">
      <c r="A736" s="24" t="s">
        <v>789</v>
      </c>
      <c r="B736" s="156" t="s">
        <v>14</v>
      </c>
      <c r="C736" s="156"/>
      <c r="D736" s="156"/>
      <c r="E736" s="156"/>
      <c r="F736" s="156"/>
      <c r="G736" s="67"/>
      <c r="H736" s="67"/>
      <c r="L736" t="e">
        <f t="shared" si="48"/>
        <v>#N/A</v>
      </c>
      <c r="M736">
        <f t="shared" si="49"/>
        <v>0</v>
      </c>
      <c r="N736">
        <f t="shared" si="50"/>
        <v>0</v>
      </c>
    </row>
    <row r="737" spans="1:14" x14ac:dyDescent="0.25">
      <c r="A737" s="24" t="s">
        <v>318</v>
      </c>
      <c r="B737" s="156" t="s">
        <v>318</v>
      </c>
      <c r="C737" s="156"/>
      <c r="D737" s="156"/>
      <c r="E737" s="156"/>
      <c r="F737" s="156"/>
      <c r="G737" s="67"/>
      <c r="H737" s="67"/>
      <c r="L737" t="e">
        <f t="shared" si="48"/>
        <v>#N/A</v>
      </c>
      <c r="M737">
        <f t="shared" si="49"/>
        <v>0</v>
      </c>
      <c r="N737">
        <f t="shared" si="50"/>
        <v>0</v>
      </c>
    </row>
    <row r="738" spans="1:14" x14ac:dyDescent="0.25">
      <c r="L738" t="e">
        <f t="shared" si="48"/>
        <v>#N/A</v>
      </c>
      <c r="M738">
        <f t="shared" si="49"/>
        <v>0</v>
      </c>
      <c r="N738">
        <f t="shared" si="50"/>
        <v>0</v>
      </c>
    </row>
    <row r="739" spans="1:14" x14ac:dyDescent="0.25">
      <c r="A739" s="62" t="s">
        <v>163</v>
      </c>
      <c r="B739" s="158" t="s">
        <v>16</v>
      </c>
      <c r="C739" s="158"/>
      <c r="D739" s="158"/>
      <c r="E739" s="158"/>
      <c r="F739" s="158"/>
      <c r="G739" s="68"/>
      <c r="H739" s="68"/>
      <c r="L739" t="e">
        <f t="shared" si="48"/>
        <v>#N/A</v>
      </c>
      <c r="M739">
        <f t="shared" si="49"/>
        <v>0</v>
      </c>
      <c r="N739">
        <f t="shared" si="50"/>
        <v>0</v>
      </c>
    </row>
    <row r="740" spans="1:14" x14ac:dyDescent="0.25">
      <c r="A740" s="24" t="s">
        <v>796</v>
      </c>
      <c r="B740" s="161" t="s">
        <v>804</v>
      </c>
      <c r="C740" s="161"/>
      <c r="D740" s="161"/>
      <c r="E740" s="161"/>
      <c r="F740" s="161"/>
      <c r="G740" s="69"/>
      <c r="H740" s="69"/>
      <c r="L740" t="e">
        <f t="shared" si="48"/>
        <v>#N/A</v>
      </c>
      <c r="M740">
        <f t="shared" si="49"/>
        <v>0</v>
      </c>
      <c r="N740">
        <f t="shared" si="50"/>
        <v>0</v>
      </c>
    </row>
    <row r="741" spans="1:14" x14ac:dyDescent="0.25">
      <c r="A741" s="24" t="s">
        <v>797</v>
      </c>
      <c r="B741" s="161" t="s">
        <v>803</v>
      </c>
      <c r="C741" s="161"/>
      <c r="D741" s="161"/>
      <c r="E741" s="161"/>
      <c r="F741" s="161"/>
      <c r="G741" s="69"/>
      <c r="H741" s="69"/>
      <c r="L741" t="e">
        <f t="shared" si="48"/>
        <v>#N/A</v>
      </c>
      <c r="M741">
        <f t="shared" si="49"/>
        <v>0</v>
      </c>
      <c r="N741">
        <f t="shared" si="50"/>
        <v>0</v>
      </c>
    </row>
    <row r="742" spans="1:14" x14ac:dyDescent="0.25">
      <c r="A742" s="24" t="s">
        <v>798</v>
      </c>
      <c r="B742" s="161" t="s">
        <v>801</v>
      </c>
      <c r="C742" s="161"/>
      <c r="D742" s="161"/>
      <c r="E742" s="161"/>
      <c r="F742" s="161"/>
      <c r="G742" s="69"/>
      <c r="H742" s="69"/>
      <c r="L742" t="e">
        <f t="shared" si="48"/>
        <v>#N/A</v>
      </c>
      <c r="M742">
        <f t="shared" si="49"/>
        <v>0</v>
      </c>
      <c r="N742">
        <f t="shared" si="50"/>
        <v>0</v>
      </c>
    </row>
    <row r="743" spans="1:14" x14ac:dyDescent="0.25">
      <c r="A743" s="24" t="s">
        <v>799</v>
      </c>
      <c r="B743" s="161" t="s">
        <v>800</v>
      </c>
      <c r="C743" s="161"/>
      <c r="D743" s="161"/>
      <c r="E743" s="161"/>
      <c r="F743" s="161"/>
      <c r="G743" s="69"/>
      <c r="H743" s="69"/>
      <c r="L743" t="e">
        <f t="shared" si="48"/>
        <v>#N/A</v>
      </c>
      <c r="M743">
        <f t="shared" si="49"/>
        <v>0</v>
      </c>
      <c r="N743">
        <f t="shared" si="50"/>
        <v>0</v>
      </c>
    </row>
  </sheetData>
  <autoFilter ref="K2:N704"/>
  <sortState ref="R3:T71">
    <sortCondition ref="S3:S71"/>
  </sortState>
  <mergeCells count="573">
    <mergeCell ref="B743:F743"/>
    <mergeCell ref="B717:F717"/>
    <mergeCell ref="B737:F737"/>
    <mergeCell ref="B735:F735"/>
    <mergeCell ref="B736:F736"/>
    <mergeCell ref="B739:F739"/>
    <mergeCell ref="B740:F740"/>
    <mergeCell ref="B741:F741"/>
    <mergeCell ref="B742:F742"/>
    <mergeCell ref="B723:F723"/>
    <mergeCell ref="A727:F727"/>
    <mergeCell ref="B728:F728"/>
    <mergeCell ref="B729:F729"/>
    <mergeCell ref="A731:B731"/>
    <mergeCell ref="C731:F731"/>
    <mergeCell ref="B715:F715"/>
    <mergeCell ref="B716:F716"/>
    <mergeCell ref="B719:F719"/>
    <mergeCell ref="B720:F720"/>
    <mergeCell ref="B721:F721"/>
    <mergeCell ref="B722:F722"/>
    <mergeCell ref="B703:F703"/>
    <mergeCell ref="B699:F699"/>
    <mergeCell ref="B700:F700"/>
    <mergeCell ref="A707:F707"/>
    <mergeCell ref="A711:B711"/>
    <mergeCell ref="C711:F711"/>
    <mergeCell ref="B708:F708"/>
    <mergeCell ref="B709:F709"/>
    <mergeCell ref="B695:F695"/>
    <mergeCell ref="B696:F696"/>
    <mergeCell ref="B697:F697"/>
    <mergeCell ref="B698:F698"/>
    <mergeCell ref="B702:F702"/>
    <mergeCell ref="B690:F690"/>
    <mergeCell ref="B691:F691"/>
    <mergeCell ref="B692:F692"/>
    <mergeCell ref="B693:F693"/>
    <mergeCell ref="B694:F694"/>
    <mergeCell ref="B684:F684"/>
    <mergeCell ref="B685:F685"/>
    <mergeCell ref="B686:F686"/>
    <mergeCell ref="B687:F687"/>
    <mergeCell ref="B688:F688"/>
    <mergeCell ref="B689:F689"/>
    <mergeCell ref="A680:B680"/>
    <mergeCell ref="C680:F680"/>
    <mergeCell ref="A674:F674"/>
    <mergeCell ref="B675:F675"/>
    <mergeCell ref="B676:F676"/>
    <mergeCell ref="B677:F677"/>
    <mergeCell ref="B678:F678"/>
    <mergeCell ref="B669:F669"/>
    <mergeCell ref="B670:F670"/>
    <mergeCell ref="B142:F142"/>
    <mergeCell ref="B124:F124"/>
    <mergeCell ref="B144:F144"/>
    <mergeCell ref="B145:F145"/>
    <mergeCell ref="B140:F140"/>
    <mergeCell ref="B125:F125"/>
    <mergeCell ref="B126:F126"/>
    <mergeCell ref="B663:F663"/>
    <mergeCell ref="B664:F664"/>
    <mergeCell ref="B665:F665"/>
    <mergeCell ref="B666:F666"/>
    <mergeCell ref="B667:F667"/>
    <mergeCell ref="B651:F651"/>
    <mergeCell ref="A655:F655"/>
    <mergeCell ref="B656:F656"/>
    <mergeCell ref="B657:F657"/>
    <mergeCell ref="A659:B659"/>
    <mergeCell ref="C659:F659"/>
    <mergeCell ref="B645:F645"/>
    <mergeCell ref="B646:F646"/>
    <mergeCell ref="B647:F647"/>
    <mergeCell ref="B648:F648"/>
    <mergeCell ref="B650:F650"/>
    <mergeCell ref="B643:F643"/>
    <mergeCell ref="B644:F644"/>
    <mergeCell ref="B635:F635"/>
    <mergeCell ref="B636:F636"/>
    <mergeCell ref="A638:B638"/>
    <mergeCell ref="C638:F638"/>
    <mergeCell ref="B642:F642"/>
    <mergeCell ref="B340:F340"/>
    <mergeCell ref="B373:F373"/>
    <mergeCell ref="B399:F399"/>
    <mergeCell ref="B510:F510"/>
    <mergeCell ref="B623:F623"/>
    <mergeCell ref="B608:F608"/>
    <mergeCell ref="A611:B611"/>
    <mergeCell ref="C611:F611"/>
    <mergeCell ref="B615:F615"/>
    <mergeCell ref="B616:F616"/>
    <mergeCell ref="B617:F617"/>
    <mergeCell ref="B595:F595"/>
    <mergeCell ref="B499:F499"/>
    <mergeCell ref="B500:F500"/>
    <mergeCell ref="A606:F606"/>
    <mergeCell ref="B607:F607"/>
    <mergeCell ref="A634:F634"/>
    <mergeCell ref="B127:F127"/>
    <mergeCell ref="B630:F630"/>
    <mergeCell ref="B82:F82"/>
    <mergeCell ref="B79:F79"/>
    <mergeCell ref="B306:F306"/>
    <mergeCell ref="B484:F484"/>
    <mergeCell ref="B196:F196"/>
    <mergeCell ref="B214:F214"/>
    <mergeCell ref="B232:F232"/>
    <mergeCell ref="B252:F252"/>
    <mergeCell ref="B273:F273"/>
    <mergeCell ref="B624:F624"/>
    <mergeCell ref="B625:F625"/>
    <mergeCell ref="B626:F626"/>
    <mergeCell ref="B628:F628"/>
    <mergeCell ref="B629:F629"/>
    <mergeCell ref="B609:F609"/>
    <mergeCell ref="B618:F618"/>
    <mergeCell ref="B619:F619"/>
    <mergeCell ref="B620:F620"/>
    <mergeCell ref="B621:F621"/>
    <mergeCell ref="B622:F622"/>
    <mergeCell ref="A583:B583"/>
    <mergeCell ref="C583:F583"/>
    <mergeCell ref="B587:F587"/>
    <mergeCell ref="B581:F581"/>
    <mergeCell ref="A579:F579"/>
    <mergeCell ref="B580:F580"/>
    <mergeCell ref="B574:F574"/>
    <mergeCell ref="B575:F575"/>
    <mergeCell ref="B123:F123"/>
    <mergeCell ref="B596:F596"/>
    <mergeCell ref="B570:F570"/>
    <mergeCell ref="B572:F572"/>
    <mergeCell ref="B571:F571"/>
    <mergeCell ref="B565:F565"/>
    <mergeCell ref="B566:F566"/>
    <mergeCell ref="B569:F569"/>
    <mergeCell ref="B559:F559"/>
    <mergeCell ref="B560:F560"/>
    <mergeCell ref="B561:F561"/>
    <mergeCell ref="B562:F562"/>
    <mergeCell ref="B563:F563"/>
    <mergeCell ref="B564:F564"/>
    <mergeCell ref="B567:F567"/>
    <mergeCell ref="B568:F568"/>
    <mergeCell ref="C555:F555"/>
    <mergeCell ref="B597:F597"/>
    <mergeCell ref="B598:F598"/>
    <mergeCell ref="B599:F599"/>
    <mergeCell ref="B601:F601"/>
    <mergeCell ref="B602:F602"/>
    <mergeCell ref="B588:F588"/>
    <mergeCell ref="B589:F589"/>
    <mergeCell ref="B590:F590"/>
    <mergeCell ref="B591:F591"/>
    <mergeCell ref="B593:F593"/>
    <mergeCell ref="B594:F594"/>
    <mergeCell ref="B592:F592"/>
    <mergeCell ref="B530:F530"/>
    <mergeCell ref="B532:F532"/>
    <mergeCell ref="B534:F534"/>
    <mergeCell ref="B540:F540"/>
    <mergeCell ref="B531:F531"/>
    <mergeCell ref="B549:F549"/>
    <mergeCell ref="B550:F550"/>
    <mergeCell ref="B552:F552"/>
    <mergeCell ref="B551:F551"/>
    <mergeCell ref="B542:F542"/>
    <mergeCell ref="A546:F546"/>
    <mergeCell ref="B547:F547"/>
    <mergeCell ref="B548:F548"/>
    <mergeCell ref="A555:B555"/>
    <mergeCell ref="A520:B520"/>
    <mergeCell ref="C520:F520"/>
    <mergeCell ref="B524:F524"/>
    <mergeCell ref="B525:F525"/>
    <mergeCell ref="B526:F526"/>
    <mergeCell ref="B527:F527"/>
    <mergeCell ref="B508:F508"/>
    <mergeCell ref="B509:F509"/>
    <mergeCell ref="A513:F513"/>
    <mergeCell ref="B514:F514"/>
    <mergeCell ref="B515:F515"/>
    <mergeCell ref="B516:F516"/>
    <mergeCell ref="B517:F517"/>
    <mergeCell ref="B518:F518"/>
    <mergeCell ref="B553:F553"/>
    <mergeCell ref="B541:F541"/>
    <mergeCell ref="B533:F533"/>
    <mergeCell ref="B535:F535"/>
    <mergeCell ref="B536:F536"/>
    <mergeCell ref="B537:F537"/>
    <mergeCell ref="B538:F538"/>
    <mergeCell ref="B528:F528"/>
    <mergeCell ref="B529:F529"/>
    <mergeCell ref="B503:F503"/>
    <mergeCell ref="B504:F504"/>
    <mergeCell ref="B506:F506"/>
    <mergeCell ref="B505:F505"/>
    <mergeCell ref="B495:F495"/>
    <mergeCell ref="B496:F496"/>
    <mergeCell ref="B497:F497"/>
    <mergeCell ref="B498:F498"/>
    <mergeCell ref="B501:F501"/>
    <mergeCell ref="B502:F502"/>
    <mergeCell ref="B478:F478"/>
    <mergeCell ref="B479:F479"/>
    <mergeCell ref="A487:F487"/>
    <mergeCell ref="B488:F488"/>
    <mergeCell ref="B489:F489"/>
    <mergeCell ref="A491:B491"/>
    <mergeCell ref="C491:F491"/>
    <mergeCell ref="B471:F471"/>
    <mergeCell ref="B472:F472"/>
    <mergeCell ref="B474:F474"/>
    <mergeCell ref="B481:F481"/>
    <mergeCell ref="B482:F482"/>
    <mergeCell ref="B483:F483"/>
    <mergeCell ref="B473:F473"/>
    <mergeCell ref="B475:F475"/>
    <mergeCell ref="B476:F476"/>
    <mergeCell ref="B477:F477"/>
    <mergeCell ref="A464:B464"/>
    <mergeCell ref="C464:F464"/>
    <mergeCell ref="B468:F468"/>
    <mergeCell ref="B469:F469"/>
    <mergeCell ref="B470:F470"/>
    <mergeCell ref="B455:F455"/>
    <mergeCell ref="B456:F456"/>
    <mergeCell ref="B457:F457"/>
    <mergeCell ref="A460:F460"/>
    <mergeCell ref="B461:F461"/>
    <mergeCell ref="B462:F462"/>
    <mergeCell ref="B449:F449"/>
    <mergeCell ref="B450:F450"/>
    <mergeCell ref="B451:F451"/>
    <mergeCell ref="B452:F452"/>
    <mergeCell ref="B453:F453"/>
    <mergeCell ref="B454:F454"/>
    <mergeCell ref="B439:F439"/>
    <mergeCell ref="B443:F443"/>
    <mergeCell ref="B444:F444"/>
    <mergeCell ref="B445:F445"/>
    <mergeCell ref="B446:F446"/>
    <mergeCell ref="B448:F448"/>
    <mergeCell ref="B440:F440"/>
    <mergeCell ref="B441:F441"/>
    <mergeCell ref="B442:F442"/>
    <mergeCell ref="B433:F433"/>
    <mergeCell ref="B434:F434"/>
    <mergeCell ref="B435:F435"/>
    <mergeCell ref="B436:F436"/>
    <mergeCell ref="B437:F437"/>
    <mergeCell ref="B438:F438"/>
    <mergeCell ref="A423:F423"/>
    <mergeCell ref="B424:F424"/>
    <mergeCell ref="B425:F425"/>
    <mergeCell ref="B426:F426"/>
    <mergeCell ref="B427:F427"/>
    <mergeCell ref="A429:B429"/>
    <mergeCell ref="C429:F429"/>
    <mergeCell ref="B419:F419"/>
    <mergeCell ref="B379:F379"/>
    <mergeCell ref="B362:F362"/>
    <mergeCell ref="B372:F372"/>
    <mergeCell ref="B392:F392"/>
    <mergeCell ref="B414:F414"/>
    <mergeCell ref="B416:F416"/>
    <mergeCell ref="B417:F417"/>
    <mergeCell ref="B418:F418"/>
    <mergeCell ref="A406:B406"/>
    <mergeCell ref="C406:F406"/>
    <mergeCell ref="B410:F410"/>
    <mergeCell ref="B411:F411"/>
    <mergeCell ref="B412:F412"/>
    <mergeCell ref="B413:F413"/>
    <mergeCell ref="B398:F398"/>
    <mergeCell ref="B394:F394"/>
    <mergeCell ref="B395:F395"/>
    <mergeCell ref="A402:F402"/>
    <mergeCell ref="B403:F403"/>
    <mergeCell ref="B404:F404"/>
    <mergeCell ref="B396:F396"/>
    <mergeCell ref="B397:F397"/>
    <mergeCell ref="A376:F376"/>
    <mergeCell ref="B377:F377"/>
    <mergeCell ref="B378:F378"/>
    <mergeCell ref="A381:B381"/>
    <mergeCell ref="C381:F381"/>
    <mergeCell ref="B388:F388"/>
    <mergeCell ref="B389:F389"/>
    <mergeCell ref="B390:F390"/>
    <mergeCell ref="B391:F391"/>
    <mergeCell ref="B385:F385"/>
    <mergeCell ref="B386:F386"/>
    <mergeCell ref="B387:F387"/>
    <mergeCell ref="B371:F371"/>
    <mergeCell ref="B364:F364"/>
    <mergeCell ref="B365:F365"/>
    <mergeCell ref="B366:F366"/>
    <mergeCell ref="B367:F367"/>
    <mergeCell ref="B368:F368"/>
    <mergeCell ref="B370:F370"/>
    <mergeCell ref="B357:F357"/>
    <mergeCell ref="B358:F358"/>
    <mergeCell ref="B359:F359"/>
    <mergeCell ref="B360:F360"/>
    <mergeCell ref="B361:F361"/>
    <mergeCell ref="B363:F363"/>
    <mergeCell ref="B352:F352"/>
    <mergeCell ref="B353:F353"/>
    <mergeCell ref="B354:F354"/>
    <mergeCell ref="B355:F355"/>
    <mergeCell ref="B356:F356"/>
    <mergeCell ref="A343:F343"/>
    <mergeCell ref="B344:F344"/>
    <mergeCell ref="B345:F345"/>
    <mergeCell ref="B346:F346"/>
    <mergeCell ref="A348:B348"/>
    <mergeCell ref="C348:F348"/>
    <mergeCell ref="B338:F338"/>
    <mergeCell ref="B339:F339"/>
    <mergeCell ref="B324:F324"/>
    <mergeCell ref="B325:F325"/>
    <mergeCell ref="B326:F326"/>
    <mergeCell ref="B327:F327"/>
    <mergeCell ref="B329:F329"/>
    <mergeCell ref="B330:F330"/>
    <mergeCell ref="B313:F313"/>
    <mergeCell ref="A315:B315"/>
    <mergeCell ref="C315:F315"/>
    <mergeCell ref="B319:F319"/>
    <mergeCell ref="B321:F321"/>
    <mergeCell ref="B322:F322"/>
    <mergeCell ref="B333:F333"/>
    <mergeCell ref="B331:F331"/>
    <mergeCell ref="B328:F328"/>
    <mergeCell ref="B320:F320"/>
    <mergeCell ref="B323:F323"/>
    <mergeCell ref="B332:F332"/>
    <mergeCell ref="B334:F334"/>
    <mergeCell ref="B335:F335"/>
    <mergeCell ref="B337:F337"/>
    <mergeCell ref="B311:F311"/>
    <mergeCell ref="B312:F312"/>
    <mergeCell ref="B302:F302"/>
    <mergeCell ref="B303:F303"/>
    <mergeCell ref="B304:F304"/>
    <mergeCell ref="B305:F305"/>
    <mergeCell ref="A309:F309"/>
    <mergeCell ref="B310:F310"/>
    <mergeCell ref="B295:F295"/>
    <mergeCell ref="B296:F296"/>
    <mergeCell ref="B297:F297"/>
    <mergeCell ref="B298:F298"/>
    <mergeCell ref="B299:F299"/>
    <mergeCell ref="B300:F300"/>
    <mergeCell ref="B291:F291"/>
    <mergeCell ref="B292:F292"/>
    <mergeCell ref="B293:F293"/>
    <mergeCell ref="B294:F294"/>
    <mergeCell ref="B282:F282"/>
    <mergeCell ref="B283:F283"/>
    <mergeCell ref="B284:F284"/>
    <mergeCell ref="A286:B286"/>
    <mergeCell ref="C286:F286"/>
    <mergeCell ref="B290:F290"/>
    <mergeCell ref="A276:F276"/>
    <mergeCell ref="B277:F277"/>
    <mergeCell ref="B278:F278"/>
    <mergeCell ref="B279:F279"/>
    <mergeCell ref="B280:F280"/>
    <mergeCell ref="B281:F281"/>
    <mergeCell ref="B265:F265"/>
    <mergeCell ref="B266:F266"/>
    <mergeCell ref="B269:F269"/>
    <mergeCell ref="B270:F270"/>
    <mergeCell ref="B271:F271"/>
    <mergeCell ref="B272:F272"/>
    <mergeCell ref="B267:F267"/>
    <mergeCell ref="B256:F256"/>
    <mergeCell ref="B257:F257"/>
    <mergeCell ref="A259:B259"/>
    <mergeCell ref="C259:F259"/>
    <mergeCell ref="B263:F263"/>
    <mergeCell ref="B264:F264"/>
    <mergeCell ref="B250:F250"/>
    <mergeCell ref="B251:F251"/>
    <mergeCell ref="B245:F245"/>
    <mergeCell ref="B244:F244"/>
    <mergeCell ref="B92:F92"/>
    <mergeCell ref="A255:F255"/>
    <mergeCell ref="A239:B239"/>
    <mergeCell ref="C239:F239"/>
    <mergeCell ref="B243:F243"/>
    <mergeCell ref="B246:F246"/>
    <mergeCell ref="B248:F248"/>
    <mergeCell ref="B249:F249"/>
    <mergeCell ref="B229:F229"/>
    <mergeCell ref="B230:F230"/>
    <mergeCell ref="B231:F231"/>
    <mergeCell ref="A235:F235"/>
    <mergeCell ref="B236:F236"/>
    <mergeCell ref="B237:F237"/>
    <mergeCell ref="B219:F219"/>
    <mergeCell ref="A221:B221"/>
    <mergeCell ref="C221:F221"/>
    <mergeCell ref="B225:F225"/>
    <mergeCell ref="B226:F226"/>
    <mergeCell ref="B228:F228"/>
    <mergeCell ref="B211:F211"/>
    <mergeCell ref="B212:F212"/>
    <mergeCell ref="B213:F213"/>
    <mergeCell ref="K1:M1"/>
    <mergeCell ref="A217:F217"/>
    <mergeCell ref="B218:F218"/>
    <mergeCell ref="B35:F35"/>
    <mergeCell ref="B7:F7"/>
    <mergeCell ref="B8:F8"/>
    <mergeCell ref="B9:F9"/>
    <mergeCell ref="B201:F201"/>
    <mergeCell ref="A203:B203"/>
    <mergeCell ref="C203:F203"/>
    <mergeCell ref="B207:F207"/>
    <mergeCell ref="B208:F208"/>
    <mergeCell ref="B210:F210"/>
    <mergeCell ref="B192:F192"/>
    <mergeCell ref="B193:F193"/>
    <mergeCell ref="B194:F194"/>
    <mergeCell ref="B195:F195"/>
    <mergeCell ref="A199:F199"/>
    <mergeCell ref="B200:F200"/>
    <mergeCell ref="B189:F189"/>
    <mergeCell ref="B190:F190"/>
    <mergeCell ref="B176:F176"/>
    <mergeCell ref="B177:F177"/>
    <mergeCell ref="B156:F156"/>
    <mergeCell ref="A181:F181"/>
    <mergeCell ref="A185:B185"/>
    <mergeCell ref="C185:F185"/>
    <mergeCell ref="B178:F178"/>
    <mergeCell ref="B182:F182"/>
    <mergeCell ref="B183:F183"/>
    <mergeCell ref="B175:F175"/>
    <mergeCell ref="B168:F168"/>
    <mergeCell ref="B169:F169"/>
    <mergeCell ref="B170:F170"/>
    <mergeCell ref="B171:F171"/>
    <mergeCell ref="B172:F172"/>
    <mergeCell ref="B173:F173"/>
    <mergeCell ref="B160:F160"/>
    <mergeCell ref="B161:F161"/>
    <mergeCell ref="B162:F162"/>
    <mergeCell ref="A164:B164"/>
    <mergeCell ref="C164:F164"/>
    <mergeCell ref="B151:F151"/>
    <mergeCell ref="B152:F152"/>
    <mergeCell ref="B153:F153"/>
    <mergeCell ref="B154:F154"/>
    <mergeCell ref="B155:F155"/>
    <mergeCell ref="A159:F159"/>
    <mergeCell ref="B143:F143"/>
    <mergeCell ref="B147:F147"/>
    <mergeCell ref="B148:F148"/>
    <mergeCell ref="B149:F149"/>
    <mergeCell ref="B150:F150"/>
    <mergeCell ref="B141:F141"/>
    <mergeCell ref="B135:F135"/>
    <mergeCell ref="B136:F136"/>
    <mergeCell ref="B137:F137"/>
    <mergeCell ref="B138:F138"/>
    <mergeCell ref="B139:F139"/>
    <mergeCell ref="B122:F122"/>
    <mergeCell ref="A129:B129"/>
    <mergeCell ref="C129:F129"/>
    <mergeCell ref="B133:F133"/>
    <mergeCell ref="B134:F134"/>
    <mergeCell ref="B45:F45"/>
    <mergeCell ref="A118:F118"/>
    <mergeCell ref="B119:F119"/>
    <mergeCell ref="B120:F120"/>
    <mergeCell ref="B121:F121"/>
    <mergeCell ref="B53:F53"/>
    <mergeCell ref="B110:F110"/>
    <mergeCell ref="B113:F113"/>
    <mergeCell ref="B114:F114"/>
    <mergeCell ref="B107:F107"/>
    <mergeCell ref="B108:F108"/>
    <mergeCell ref="B109:F109"/>
    <mergeCell ref="B111:F111"/>
    <mergeCell ref="B101:F101"/>
    <mergeCell ref="B102:F102"/>
    <mergeCell ref="B103:F103"/>
    <mergeCell ref="B104:F104"/>
    <mergeCell ref="B105:F105"/>
    <mergeCell ref="B106:F106"/>
    <mergeCell ref="B88:F88"/>
    <mergeCell ref="B93:F93"/>
    <mergeCell ref="A95:B95"/>
    <mergeCell ref="C95:F95"/>
    <mergeCell ref="B99:F99"/>
    <mergeCell ref="B100:F100"/>
    <mergeCell ref="B89:F89"/>
    <mergeCell ref="B90:F90"/>
    <mergeCell ref="B91:F91"/>
    <mergeCell ref="B86:F86"/>
    <mergeCell ref="B61:F61"/>
    <mergeCell ref="A85:F85"/>
    <mergeCell ref="B87:F87"/>
    <mergeCell ref="B76:F76"/>
    <mergeCell ref="B78:F78"/>
    <mergeCell ref="B80:F80"/>
    <mergeCell ref="B81:F81"/>
    <mergeCell ref="B70:F70"/>
    <mergeCell ref="B71:F71"/>
    <mergeCell ref="B72:F72"/>
    <mergeCell ref="B73:F73"/>
    <mergeCell ref="B74:F74"/>
    <mergeCell ref="B75:F75"/>
    <mergeCell ref="B64:F64"/>
    <mergeCell ref="B65:F65"/>
    <mergeCell ref="B66:F66"/>
    <mergeCell ref="B67:F67"/>
    <mergeCell ref="B68:F68"/>
    <mergeCell ref="B69:F69"/>
    <mergeCell ref="B54:F54"/>
    <mergeCell ref="A56:B56"/>
    <mergeCell ref="C56:F56"/>
    <mergeCell ref="B60:F60"/>
    <mergeCell ref="B62:F62"/>
    <mergeCell ref="B63:F63"/>
    <mergeCell ref="A49:F49"/>
    <mergeCell ref="B50:F50"/>
    <mergeCell ref="B51:F51"/>
    <mergeCell ref="B52:F52"/>
    <mergeCell ref="B43:F43"/>
    <mergeCell ref="B44:F44"/>
    <mergeCell ref="B37:F37"/>
    <mergeCell ref="B2:F2"/>
    <mergeCell ref="B3:F3"/>
    <mergeCell ref="B4:F4"/>
    <mergeCell ref="B5:F5"/>
    <mergeCell ref="B6:F6"/>
    <mergeCell ref="B33:F33"/>
    <mergeCell ref="B38:F38"/>
    <mergeCell ref="B39:F39"/>
    <mergeCell ref="B40:F40"/>
    <mergeCell ref="B41:F41"/>
    <mergeCell ref="B42:F42"/>
    <mergeCell ref="B34:F34"/>
    <mergeCell ref="B27:F27"/>
    <mergeCell ref="B28:F28"/>
    <mergeCell ref="B29:F29"/>
    <mergeCell ref="B30:F30"/>
    <mergeCell ref="B31:F31"/>
    <mergeCell ref="B32:F32"/>
    <mergeCell ref="B20:F20"/>
    <mergeCell ref="B21:F21"/>
    <mergeCell ref="B23:F23"/>
    <mergeCell ref="B24:F24"/>
    <mergeCell ref="B25:F25"/>
    <mergeCell ref="B26:F26"/>
    <mergeCell ref="B22:F22"/>
    <mergeCell ref="A14:B14"/>
    <mergeCell ref="C14:F14"/>
    <mergeCell ref="B18:F18"/>
    <mergeCell ref="B19:F19"/>
    <mergeCell ref="A1:F1"/>
    <mergeCell ref="B12:F12"/>
    <mergeCell ref="B10:F10"/>
    <mergeCell ref="B11:F11"/>
  </mergeCells>
  <conditionalFormatting sqref="K3:K76">
    <cfRule type="expression" dxfId="9" priority="1">
      <formula>$F3=$O$23</formula>
    </cfRule>
    <cfRule type="expression" dxfId="8" priority="2">
      <formula>$F3=$O$22</formula>
    </cfRule>
  </conditionalFormatting>
  <conditionalFormatting sqref="K3:K76">
    <cfRule type="expression" dxfId="7" priority="4">
      <formula>$G3="Inactivo"</formula>
    </cfRule>
  </conditionalFormatting>
  <dataValidations count="1">
    <dataValidation type="list" allowBlank="1" showInputMessage="1" showErrorMessage="1" sqref="A120:A127 A3:A12 A87:A93 A657 A161:A162 A183 A201 A219 A237 A257 A278:A284 A311:A313 A345:A346 A378:A379 A404 A425:A427 A462 A581 A515:A518 A548:A553 A489 A608:A609 A636 A51:A54 A676:A678 A709 A729">
      <formula1>RN_BN</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 id="{40A85711-EF06-47EE-B380-E6F47D4CAD4D}">
            <xm:f>$F3=RN_AN!$G$8</xm:f>
            <x14:dxf>
              <font>
                <color theme="0"/>
              </font>
              <fill>
                <patternFill>
                  <bgColor rgb="FF002060"/>
                </patternFill>
              </fill>
            </x14:dxf>
          </x14:cfRule>
          <x14:cfRule type="expression" priority="5" id="{B55F81A0-FA01-43C6-B3C4-89C531697630}">
            <xm:f>$F3=RN_AN!$G$7</xm:f>
            <x14:dxf>
              <fill>
                <patternFill>
                  <bgColor rgb="FFFF66FF"/>
                </patternFill>
              </fill>
            </x14:dxf>
          </x14:cfRule>
          <x14:cfRule type="expression" priority="6" id="{25804C88-66B5-4B65-8087-EF8C457A92FE}">
            <xm:f>$F3=RN_AN!$G$6</xm:f>
            <x14:dxf>
              <fill>
                <patternFill>
                  <bgColor rgb="FFFF0000"/>
                </patternFill>
              </fill>
            </x14:dxf>
          </x14:cfRule>
          <x14:cfRule type="expression" priority="7" id="{41A42C94-E1FA-40A9-9864-315893E1C5D9}">
            <xm:f>$F3=RN_AN!$G$5</xm:f>
            <x14:dxf>
              <fill>
                <patternFill>
                  <bgColor rgb="FF00B050"/>
                </patternFill>
              </fill>
            </x14:dxf>
          </x14:cfRule>
          <x14:cfRule type="expression" priority="8" id="{D66A3731-593B-49A0-B49B-CC8DBF6D98E8}">
            <xm:f>$F3=RN_AN!$G$4</xm:f>
            <x14:dxf>
              <fill>
                <patternFill>
                  <bgColor rgb="FF00B0F0"/>
                </patternFill>
              </fill>
            </x14:dxf>
          </x14:cfRule>
          <x14:cfRule type="expression" priority="9" id="{EF34BEAB-78B1-4B4C-9ABF-6A4B48091F39}">
            <xm:f>$F3=RN_AN!$G$3</xm:f>
            <x14:dxf>
              <fill>
                <patternFill>
                  <bgColor rgb="FFFFFF00"/>
                </patternFill>
              </fill>
            </x14:dxf>
          </x14:cfRule>
          <x14:cfRule type="expression" priority="10" id="{068F89BE-9308-40A9-9281-742768D37F4B}">
            <xm:f>$F3=RN_AN!$G$2</xm:f>
            <x14:dxf>
              <fill>
                <patternFill>
                  <bgColor theme="5"/>
                </patternFill>
              </fill>
            </x14:dxf>
          </x14:cfRule>
          <xm:sqref>K3:K76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Objetivos</vt:lpstr>
      <vt:lpstr>RN_AN</vt:lpstr>
      <vt:lpstr>RN_BN</vt:lpstr>
      <vt:lpstr>Entidades</vt:lpstr>
      <vt:lpstr>Asientos Contables preliminares</vt:lpstr>
      <vt:lpstr>Procesos_AN</vt:lpstr>
      <vt:lpstr>Acciones</vt:lpstr>
      <vt:lpstr>Funcionalidad UI</vt:lpstr>
      <vt:lpstr>Workflows</vt:lpstr>
      <vt:lpstr>Requerimientos de Diseño</vt:lpstr>
      <vt:lpstr>Zachman</vt:lpstr>
      <vt:lpstr>Sheet5</vt:lpstr>
      <vt:lpstr>Sheet2</vt:lpstr>
      <vt:lpstr>Sheet3</vt:lpstr>
      <vt:lpstr>Sheet1</vt:lpstr>
      <vt:lpstr>UI</vt:lpstr>
      <vt:lpstr>Acciones</vt:lpstr>
      <vt:lpstr>Entidades</vt:lpstr>
      <vt:lpstr>Objetivos</vt:lpstr>
      <vt:lpstr>Procesos</vt:lpstr>
      <vt:lpstr>RN_AN</vt:lpstr>
      <vt:lpstr>RN_BN</vt:lpstr>
      <vt:lpstr>Tipo_Requerimiento</vt:lpstr>
    </vt:vector>
  </TitlesOfParts>
  <Company>Infosys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Cruz</dc:creator>
  <cp:lastModifiedBy>Jose Cruz</cp:lastModifiedBy>
  <dcterms:created xsi:type="dcterms:W3CDTF">2015-02-26T14:15:47Z</dcterms:created>
  <dcterms:modified xsi:type="dcterms:W3CDTF">2015-04-17T19:03:44Z</dcterms:modified>
</cp:coreProperties>
</file>